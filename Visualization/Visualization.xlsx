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eusz\Desktop\ZBIORCZE\TECH\ANALIZA DANYCH\SQL\VS\Projekty MB\SQL Analysis of bike sales\Visualization\"/>
    </mc:Choice>
  </mc:AlternateContent>
  <xr:revisionPtr revIDLastSave="0" documentId="13_ncr:1_{5EF4AF8E-D56F-4139-BCC0-22BBBCA429F5}" xr6:coauthVersionLast="47" xr6:coauthVersionMax="47" xr10:uidLastSave="{00000000-0000-0000-0000-000000000000}"/>
  <workbookProtection lockStructure="1"/>
  <bookViews>
    <workbookView xWindow="-120" yWindow="-120" windowWidth="29040" windowHeight="15840" firstSheet="1" activeTab="1" xr2:uid="{00000000-000D-0000-FFFF-FFFF00000000}"/>
  </bookViews>
  <sheets>
    <sheet name="Arkusz1" sheetId="1" state="hidden" r:id="rId1"/>
    <sheet name="Age Distribution by Gender" sheetId="2" r:id="rId2"/>
    <sheet name="Arkusz7" sheetId="3" state="hidden" r:id="rId3"/>
    <sheet name="Bike category sales by age grou" sheetId="4" r:id="rId4"/>
    <sheet name="Arkusz8" sheetId="5" state="hidden" r:id="rId5"/>
    <sheet name="Average spending - age distribu" sheetId="6" r:id="rId6"/>
    <sheet name="Number of Orders - age distribu" sheetId="7" state="hidden" r:id="rId7"/>
    <sheet name="Arkusz3" sheetId="8" state="hidden" r:id="rId8"/>
    <sheet name="Number of orders for every coun" sheetId="9" r:id="rId9"/>
    <sheet name="Arkusz5" sheetId="10" state="hidden" r:id="rId10"/>
    <sheet name="Arkusz6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1" l="1"/>
  <c r="L16" i="11"/>
  <c r="H16" i="11"/>
  <c r="D16" i="11"/>
  <c r="J16" i="8"/>
  <c r="H17" i="1"/>
  <c r="H16" i="1"/>
  <c r="H15" i="1"/>
  <c r="H14" i="1"/>
  <c r="H13" i="1"/>
  <c r="H12" i="1"/>
  <c r="H11" i="1"/>
</calcChain>
</file>

<file path=xl/sharedStrings.xml><?xml version="1.0" encoding="utf-8"?>
<sst xmlns="http://schemas.openxmlformats.org/spreadsheetml/2006/main" count="202" uniqueCount="143">
  <si>
    <t>--1.1. Number of Orders (including quantity of each order) - age distribution by gender</t>
  </si>
  <si>
    <t>* sqlite:///bike_sales.db</t>
  </si>
  <si>
    <t>Done.</t>
  </si>
  <si>
    <t>Group</t>
  </si>
  <si>
    <t>Age_Group</t>
  </si>
  <si>
    <t>Total_Sum_of_Orders</t>
  </si>
  <si>
    <t>Female_Orders</t>
  </si>
  <si>
    <t>Male_Orders</t>
  </si>
  <si>
    <t>Group_Percentage</t>
  </si>
  <si>
    <t>UnderAge</t>
  </si>
  <si>
    <t>1. UnderAge (below 18)</t>
  </si>
  <si>
    <t>1.19%</t>
  </si>
  <si>
    <t>Young Adults</t>
  </si>
  <si>
    <t>2. Young Adults (18-24)</t>
  </si>
  <si>
    <t>14.87%</t>
  </si>
  <si>
    <t>Young Professionals</t>
  </si>
  <si>
    <t>3. Young Professionals (25-34)</t>
  </si>
  <si>
    <t>33.22%</t>
  </si>
  <si>
    <t>Early Adults</t>
  </si>
  <si>
    <t>4. Early Adults (35-44)</t>
  </si>
  <si>
    <t>27.92%</t>
  </si>
  <si>
    <t>Middle Adults</t>
  </si>
  <si>
    <t>5. Middle Adults (45-54)</t>
  </si>
  <si>
    <t>15.82%</t>
  </si>
  <si>
    <t>Older Adults</t>
  </si>
  <si>
    <t>6. Older Adults (55-64)</t>
  </si>
  <si>
    <t>6.24%</t>
  </si>
  <si>
    <t>Seniors</t>
  </si>
  <si>
    <t>7. Seniors</t>
  </si>
  <si>
    <t>0.73%</t>
  </si>
  <si>
    <t>--Total Sum--</t>
  </si>
  <si>
    <t>--</t>
  </si>
  <si>
    <t>Mountaint_Bikes_Orders</t>
  </si>
  <si>
    <t>Road_Bikes_Orders</t>
  </si>
  <si>
    <t>Touring_Bikes_Orders</t>
  </si>
  <si>
    <t>Avg_Money_Spent</t>
  </si>
  <si>
    <t>Average money spent</t>
  </si>
  <si>
    <t>2882.75</t>
  </si>
  <si>
    <t>2615.49</t>
  </si>
  <si>
    <t>2510.82</t>
  </si>
  <si>
    <t>2651.78</t>
  </si>
  <si>
    <t>2674.89</t>
  </si>
  <si>
    <t>--2.0 Average profit of each season for every country</t>
  </si>
  <si>
    <t>Country</t>
  </si>
  <si>
    <t>Avg_Profit_Overall</t>
  </si>
  <si>
    <t>Spring_avg</t>
  </si>
  <si>
    <t>Summer_avg</t>
  </si>
  <si>
    <t>Autumn_avg</t>
  </si>
  <si>
    <t>Winter_avg</t>
  </si>
  <si>
    <t>Australia</t>
  </si>
  <si>
    <t>455.45</t>
  </si>
  <si>
    <t>443.36</t>
  </si>
  <si>
    <t>445.49</t>
  </si>
  <si>
    <t>467.78</t>
  </si>
  <si>
    <t>465.62</t>
  </si>
  <si>
    <t>Canada</t>
  </si>
  <si>
    <t>267.75</t>
  </si>
  <si>
    <t>258.3</t>
  </si>
  <si>
    <t>275.1</t>
  </si>
  <si>
    <t>245.72</t>
  </si>
  <si>
    <t>290.2</t>
  </si>
  <si>
    <t>France</t>
  </si>
  <si>
    <t>390.49</t>
  </si>
  <si>
    <t>383.02</t>
  </si>
  <si>
    <t>386.64</t>
  </si>
  <si>
    <t>376.97</t>
  </si>
  <si>
    <t>411.29</t>
  </si>
  <si>
    <t>Germany</t>
  </si>
  <si>
    <t>393.19</t>
  </si>
  <si>
    <t>415.83</t>
  </si>
  <si>
    <t>403.18</t>
  </si>
  <si>
    <t>362.66</t>
  </si>
  <si>
    <t>381.32</t>
  </si>
  <si>
    <t>United Kingdom</t>
  </si>
  <si>
    <t>356.66</t>
  </si>
  <si>
    <t>354.2</t>
  </si>
  <si>
    <t>359.14</t>
  </si>
  <si>
    <t>326.05</t>
  </si>
  <si>
    <t>383.71</t>
  </si>
  <si>
    <t>United States</t>
  </si>
  <si>
    <t>354.87</t>
  </si>
  <si>
    <t>374.0</t>
  </si>
  <si>
    <t>364.74</t>
  </si>
  <si>
    <t>322.51</t>
  </si>
  <si>
    <t>354.34</t>
  </si>
  <si>
    <t>Number of orders for every country for each season</t>
  </si>
  <si>
    <t>Spring Ord</t>
  </si>
  <si>
    <t>Summer Ord</t>
  </si>
  <si>
    <t>Autumn Ord</t>
  </si>
  <si>
    <t>Winter Ord</t>
  </si>
  <si>
    <t>Country Percent</t>
  </si>
  <si>
    <t>Country sparklines</t>
  </si>
  <si>
    <t>21.18%</t>
  </si>
  <si>
    <t>12.54%</t>
  </si>
  <si>
    <t>9.73%</t>
  </si>
  <si>
    <t>9.82%</t>
  </si>
  <si>
    <t>12.05%</t>
  </si>
  <si>
    <t>34.68%</t>
  </si>
  <si>
    <t>% by Season</t>
  </si>
  <si>
    <t>27.41%</t>
  </si>
  <si>
    <t>23.79%</t>
  </si>
  <si>
    <t>22.69%</t>
  </si>
  <si>
    <t>26.1%</t>
  </si>
  <si>
    <t>--3. Bike sales information (for orders with more than 1 bike)</t>
  </si>
  <si>
    <t>Bike_Type</t>
  </si>
  <si>
    <t>Num_of_Orders</t>
  </si>
  <si>
    <t>Percent_of_Total_Orders</t>
  </si>
  <si>
    <t>Who_Ordered_More</t>
  </si>
  <si>
    <t>Mountain Bikes</t>
  </si>
  <si>
    <t>29.59</t>
  </si>
  <si>
    <t>Females</t>
  </si>
  <si>
    <t>Road Bikes</t>
  </si>
  <si>
    <t>62.03</t>
  </si>
  <si>
    <t>Males</t>
  </si>
  <si>
    <t>Touring Bikes</t>
  </si>
  <si>
    <t>8.37</t>
  </si>
  <si>
    <t>--4. Avg product total cost change over the years</t>
  </si>
  <si>
    <t>Year</t>
  </si>
  <si>
    <t>Avg_Acc_Cost</t>
  </si>
  <si>
    <t>Change_Over_Year</t>
  </si>
  <si>
    <t>Avg_Clothes_Cost</t>
  </si>
  <si>
    <t>93.11</t>
  </si>
  <si>
    <t>354.23</t>
  </si>
  <si>
    <t>Avg_Bikes_Cost</t>
  </si>
  <si>
    <t>88.75</t>
  </si>
  <si>
    <t>-4.36</t>
  </si>
  <si>
    <t>313.26</t>
  </si>
  <si>
    <t>-40.97</t>
  </si>
  <si>
    <t>2272.54</t>
  </si>
  <si>
    <t>90.41</t>
  </si>
  <si>
    <t>344.35</t>
  </si>
  <si>
    <t>2324.99</t>
  </si>
  <si>
    <t>85.86</t>
  </si>
  <si>
    <t>-4.55</t>
  </si>
  <si>
    <t>304.75</t>
  </si>
  <si>
    <t>-39.6</t>
  </si>
  <si>
    <t>1150.33</t>
  </si>
  <si>
    <t>-1174.66</t>
  </si>
  <si>
    <t>1090.3</t>
  </si>
  <si>
    <t>-60.03</t>
  </si>
  <si>
    <t>1726.82</t>
  </si>
  <si>
    <t>1630.54</t>
  </si>
  <si>
    <t>-96.28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</si>
</sst>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.m"/>
  </numFmts>
  <fonts count="8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  <font>
      <b/>
      <sz val="10"/>
      <color theme="1"/>
      <name val="Arial"/>
      <family val="2"/>
      <charset val="238"/>
      <scheme val="minor"/>
    </font>
    <font>
      <sz val="11"/>
      <color rgb="FF000000"/>
      <name val="&quot;Aptos Narrow&quot;"/>
    </font>
    <font>
      <b/>
      <sz val="24"/>
      <color theme="1"/>
      <name val="Arial"/>
      <family val="2"/>
      <charset val="238"/>
      <scheme val="minor"/>
    </font>
    <font>
      <sz val="10"/>
      <name val="Arial"/>
      <family val="2"/>
      <charset val="238"/>
    </font>
    <font>
      <b/>
      <sz val="18"/>
      <color theme="1"/>
      <name val="Arial"/>
      <family val="2"/>
      <charset val="238"/>
      <scheme val="minor"/>
    </font>
    <font>
      <sz val="18"/>
      <color theme="1"/>
      <name val="Arial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0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/>
    <xf numFmtId="0" fontId="7" fillId="0" borderId="0" xfId="0" applyFont="1" applyAlignment="1">
      <alignment horizontal="center"/>
    </xf>
    <xf numFmtId="0" fontId="7" fillId="0" borderId="9" xfId="0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4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15" Type="http://schemas.openxmlformats.org/officeDocument/2006/relationships/calcChain" Target="calcChain.xml"/><Relationship Id="rId10" Type="http://schemas.openxmlformats.org/officeDocument/2006/relationships/worksheet" Target="worksheets/sheet6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 lvl="0">
              <a:defRPr sz="2400" b="1">
                <a:solidFill>
                  <a:srgbClr val="000000"/>
                </a:solidFill>
                <a:latin typeface="+mn-lt"/>
              </a:defRPr>
            </a:pPr>
            <a:r>
              <a:rPr lang="pl-PL" sz="2400" b="1">
                <a:solidFill>
                  <a:srgbClr val="000000"/>
                </a:solidFill>
                <a:latin typeface="+mn-lt"/>
              </a:rPr>
              <a:t>Age Distribution by Gender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Arkusz1!$E$8:$E$10</c:f>
              <c:strCache>
                <c:ptCount val="3"/>
                <c:pt idx="0">
                  <c:v>* sqlite:///bike_sales.db</c:v>
                </c:pt>
                <c:pt idx="1">
                  <c:v>Done.</c:v>
                </c:pt>
                <c:pt idx="2">
                  <c:v>Female_Orders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F41-4138-9486-2A67EB4BC1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 b="1"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Arkusz1!$B$11:$B$17</c:f>
              <c:strCache>
                <c:ptCount val="7"/>
                <c:pt idx="0">
                  <c:v>UnderAge</c:v>
                </c:pt>
                <c:pt idx="1">
                  <c:v>Young Adults</c:v>
                </c:pt>
                <c:pt idx="2">
                  <c:v>Young Professionals</c:v>
                </c:pt>
                <c:pt idx="3">
                  <c:v>Early Adults</c:v>
                </c:pt>
                <c:pt idx="4">
                  <c:v>Middle Adults</c:v>
                </c:pt>
                <c:pt idx="5">
                  <c:v>Older Adults</c:v>
                </c:pt>
                <c:pt idx="6">
                  <c:v>Seniors</c:v>
                </c:pt>
              </c:strCache>
            </c:strRef>
          </c:cat>
          <c:val>
            <c:numRef>
              <c:f>Arkusz1!$E$11:$E$17</c:f>
              <c:numCache>
                <c:formatCode>General</c:formatCode>
                <c:ptCount val="7"/>
                <c:pt idx="0">
                  <c:v>5786</c:v>
                </c:pt>
                <c:pt idx="1">
                  <c:v>92521</c:v>
                </c:pt>
                <c:pt idx="2">
                  <c:v>214441</c:v>
                </c:pt>
                <c:pt idx="3">
                  <c:v>181821</c:v>
                </c:pt>
                <c:pt idx="4">
                  <c:v>107081</c:v>
                </c:pt>
                <c:pt idx="5">
                  <c:v>39577</c:v>
                </c:pt>
                <c:pt idx="6">
                  <c:v>4506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F41-4138-9486-2A67EB4BC11B}"/>
            </c:ext>
          </c:extLst>
        </c:ser>
        <c:ser>
          <c:idx val="1"/>
          <c:order val="1"/>
          <c:tx>
            <c:strRef>
              <c:f>Arkusz1!$F$8:$F$10</c:f>
              <c:strCache>
                <c:ptCount val="3"/>
                <c:pt idx="0">
                  <c:v>* sqlite:///bike_sales.db</c:v>
                </c:pt>
                <c:pt idx="1">
                  <c:v>Done.</c:v>
                </c:pt>
                <c:pt idx="2">
                  <c:v>Male_Orders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 b="1"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Arkusz1!$B$11:$B$17</c:f>
              <c:strCache>
                <c:ptCount val="7"/>
                <c:pt idx="0">
                  <c:v>UnderAge</c:v>
                </c:pt>
                <c:pt idx="1">
                  <c:v>Young Adults</c:v>
                </c:pt>
                <c:pt idx="2">
                  <c:v>Young Professionals</c:v>
                </c:pt>
                <c:pt idx="3">
                  <c:v>Early Adults</c:v>
                </c:pt>
                <c:pt idx="4">
                  <c:v>Middle Adults</c:v>
                </c:pt>
                <c:pt idx="5">
                  <c:v>Older Adults</c:v>
                </c:pt>
                <c:pt idx="6">
                  <c:v>Seniors</c:v>
                </c:pt>
              </c:strCache>
            </c:strRef>
          </c:cat>
          <c:val>
            <c:numRef>
              <c:f>Arkusz1!$F$11:$F$17</c:f>
              <c:numCache>
                <c:formatCode>General</c:formatCode>
                <c:ptCount val="7"/>
                <c:pt idx="0">
                  <c:v>10252</c:v>
                </c:pt>
                <c:pt idx="1">
                  <c:v>107588</c:v>
                </c:pt>
                <c:pt idx="2">
                  <c:v>232434</c:v>
                </c:pt>
                <c:pt idx="3">
                  <c:v>193793</c:v>
                </c:pt>
                <c:pt idx="4">
                  <c:v>105788</c:v>
                </c:pt>
                <c:pt idx="5">
                  <c:v>44357</c:v>
                </c:pt>
                <c:pt idx="6">
                  <c:v>5371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F41-4138-9486-2A67EB4BC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631036"/>
        <c:axId val="1400881561"/>
      </c:barChart>
      <c:catAx>
        <c:axId val="240631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1400881561"/>
        <c:crosses val="autoZero"/>
        <c:auto val="1"/>
        <c:lblAlgn val="ctr"/>
        <c:lblOffset val="100"/>
        <c:noMultiLvlLbl val="1"/>
      </c:catAx>
      <c:valAx>
        <c:axId val="1400881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1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2406310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 lvl="0">
              <a:defRPr sz="2400" b="1">
                <a:solidFill>
                  <a:srgbClr val="000000"/>
                </a:solidFill>
                <a:latin typeface="+mn-lt"/>
              </a:defRPr>
            </a:pPr>
            <a:r>
              <a:rPr lang="pl-PL" sz="2400" b="1">
                <a:solidFill>
                  <a:srgbClr val="000000"/>
                </a:solidFill>
                <a:latin typeface="+mn-lt"/>
              </a:rPr>
              <a:t>Bike category sales by age groups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Arkusz7!$F$11:$F$13</c:f>
              <c:strCache>
                <c:ptCount val="3"/>
                <c:pt idx="0">
                  <c:v>* sqlite:///bike_sales.db</c:v>
                </c:pt>
                <c:pt idx="1">
                  <c:v>Done.</c:v>
                </c:pt>
                <c:pt idx="2">
                  <c:v>Mountaint_Bikes_Orders</c:v>
                </c:pt>
              </c:strCache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F49-463F-9497-E0AB7B8AA287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F49-463F-9497-E0AB7B8AA287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F49-463F-9497-E0AB7B8AA2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Arkusz7!$D$14:$D$20</c:f>
              <c:strCache>
                <c:ptCount val="7"/>
                <c:pt idx="0">
                  <c:v>UnderAge</c:v>
                </c:pt>
                <c:pt idx="1">
                  <c:v>Young Adults</c:v>
                </c:pt>
                <c:pt idx="2">
                  <c:v>Young Professionals</c:v>
                </c:pt>
                <c:pt idx="3">
                  <c:v>Early Adults</c:v>
                </c:pt>
                <c:pt idx="4">
                  <c:v>Middle Adults</c:v>
                </c:pt>
                <c:pt idx="5">
                  <c:v>Older Adults</c:v>
                </c:pt>
                <c:pt idx="6">
                  <c:v>Seniors</c:v>
                </c:pt>
              </c:strCache>
            </c:strRef>
          </c:cat>
          <c:val>
            <c:numRef>
              <c:f>Arkusz7!$F$14:$F$20</c:f>
              <c:numCache>
                <c:formatCode>General</c:formatCode>
                <c:ptCount val="7"/>
                <c:pt idx="0">
                  <c:v>19.010000000000002</c:v>
                </c:pt>
                <c:pt idx="1">
                  <c:v>32.53</c:v>
                </c:pt>
                <c:pt idx="2">
                  <c:v>33.19</c:v>
                </c:pt>
                <c:pt idx="3">
                  <c:v>33.299999999999997</c:v>
                </c:pt>
                <c:pt idx="4">
                  <c:v>31.76</c:v>
                </c:pt>
                <c:pt idx="5">
                  <c:v>36.479999999999997</c:v>
                </c:pt>
                <c:pt idx="6">
                  <c:v>43.75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F49-463F-9497-E0AB7B8AA287}"/>
            </c:ext>
          </c:extLst>
        </c:ser>
        <c:ser>
          <c:idx val="1"/>
          <c:order val="1"/>
          <c:tx>
            <c:strRef>
              <c:f>Arkusz7!$G$11:$G$13</c:f>
              <c:strCache>
                <c:ptCount val="3"/>
                <c:pt idx="0">
                  <c:v>* sqlite:///bike_sales.db</c:v>
                </c:pt>
                <c:pt idx="1">
                  <c:v>Done.</c:v>
                </c:pt>
                <c:pt idx="2">
                  <c:v>Road_Bikes_Orders</c:v>
                </c:pt>
              </c:strCache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AF49-463F-9497-E0AB7B8AA2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Arkusz7!$D$14:$D$20</c:f>
              <c:strCache>
                <c:ptCount val="7"/>
                <c:pt idx="0">
                  <c:v>UnderAge</c:v>
                </c:pt>
                <c:pt idx="1">
                  <c:v>Young Adults</c:v>
                </c:pt>
                <c:pt idx="2">
                  <c:v>Young Professionals</c:v>
                </c:pt>
                <c:pt idx="3">
                  <c:v>Early Adults</c:v>
                </c:pt>
                <c:pt idx="4">
                  <c:v>Middle Adults</c:v>
                </c:pt>
                <c:pt idx="5">
                  <c:v>Older Adults</c:v>
                </c:pt>
                <c:pt idx="6">
                  <c:v>Seniors</c:v>
                </c:pt>
              </c:strCache>
            </c:strRef>
          </c:cat>
          <c:val>
            <c:numRef>
              <c:f>Arkusz7!$G$14:$G$20</c:f>
              <c:numCache>
                <c:formatCode>General</c:formatCode>
                <c:ptCount val="7"/>
                <c:pt idx="0">
                  <c:v>72.77</c:v>
                </c:pt>
                <c:pt idx="1">
                  <c:v>59.03</c:v>
                </c:pt>
                <c:pt idx="2">
                  <c:v>54.14</c:v>
                </c:pt>
                <c:pt idx="3">
                  <c:v>52.31</c:v>
                </c:pt>
                <c:pt idx="4">
                  <c:v>53.21</c:v>
                </c:pt>
                <c:pt idx="5">
                  <c:v>55.04</c:v>
                </c:pt>
                <c:pt idx="6">
                  <c:v>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F49-463F-9497-E0AB7B8AA287}"/>
            </c:ext>
          </c:extLst>
        </c:ser>
        <c:ser>
          <c:idx val="2"/>
          <c:order val="2"/>
          <c:tx>
            <c:strRef>
              <c:f>Arkusz7!$H$11:$H$13</c:f>
              <c:strCache>
                <c:ptCount val="3"/>
                <c:pt idx="0">
                  <c:v>* sqlite:///bike_sales.db</c:v>
                </c:pt>
                <c:pt idx="1">
                  <c:v>Done.</c:v>
                </c:pt>
                <c:pt idx="2">
                  <c:v>Touring_Bikes_Orders</c:v>
                </c:pt>
              </c:strCache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Arkusz7!$D$14:$D$20</c:f>
              <c:strCache>
                <c:ptCount val="7"/>
                <c:pt idx="0">
                  <c:v>UnderAge</c:v>
                </c:pt>
                <c:pt idx="1">
                  <c:v>Young Adults</c:v>
                </c:pt>
                <c:pt idx="2">
                  <c:v>Young Professionals</c:v>
                </c:pt>
                <c:pt idx="3">
                  <c:v>Early Adults</c:v>
                </c:pt>
                <c:pt idx="4">
                  <c:v>Middle Adults</c:v>
                </c:pt>
                <c:pt idx="5">
                  <c:v>Older Adults</c:v>
                </c:pt>
                <c:pt idx="6">
                  <c:v>Seniors</c:v>
                </c:pt>
              </c:strCache>
            </c:strRef>
          </c:cat>
          <c:val>
            <c:numRef>
              <c:f>Arkusz7!$H$14:$H$20</c:f>
              <c:numCache>
                <c:formatCode>General</c:formatCode>
                <c:ptCount val="7"/>
                <c:pt idx="0">
                  <c:v>8.2200000000000006</c:v>
                </c:pt>
                <c:pt idx="1">
                  <c:v>8.44</c:v>
                </c:pt>
                <c:pt idx="2">
                  <c:v>12.67</c:v>
                </c:pt>
                <c:pt idx="3">
                  <c:v>14.39</c:v>
                </c:pt>
                <c:pt idx="4">
                  <c:v>15.03</c:v>
                </c:pt>
                <c:pt idx="5">
                  <c:v>8.48</c:v>
                </c:pt>
                <c:pt idx="6">
                  <c:v>11.25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AF49-463F-9497-E0AB7B8A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207231"/>
        <c:axId val="824683293"/>
      </c:barChart>
      <c:catAx>
        <c:axId val="199420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824683293"/>
        <c:crosses val="autoZero"/>
        <c:auto val="1"/>
        <c:lblAlgn val="ctr"/>
        <c:lblOffset val="100"/>
        <c:noMultiLvlLbl val="1"/>
      </c:catAx>
      <c:valAx>
        <c:axId val="8246832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600" b="1">
                <a:solidFill>
                  <a:schemeClr val="lt1"/>
                </a:solidFill>
                <a:latin typeface="+mn-lt"/>
              </a:defRPr>
            </a:pPr>
            <a:endParaRPr lang="pl-PL"/>
          </a:p>
        </c:txPr>
        <c:crossAx val="19942072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600" b="1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+mn-lt"/>
              </a:defRPr>
            </a:pPr>
            <a:r>
              <a:rPr lang="pl-PL" sz="2000" b="1">
                <a:solidFill>
                  <a:srgbClr val="000000"/>
                </a:solidFill>
                <a:latin typeface="+mn-lt"/>
              </a:rPr>
              <a:t>Average spending - age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Arkusz8!$G$10:$G$11</c:f>
              <c:strCache>
                <c:ptCount val="2"/>
                <c:pt idx="0">
                  <c:v>Average money spent</c:v>
                </c:pt>
                <c:pt idx="1">
                  <c:v>1927,2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 b="1"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rgbClr val="9900FF"/>
                </a:solidFill>
              </a:ln>
            </c:spPr>
            <c:trendlineType val="linear"/>
            <c:dispRSqr val="0"/>
            <c:dispEq val="0"/>
          </c:trendline>
          <c:cat>
            <c:strRef>
              <c:f>Arkusz8!$D$12:$D$17</c:f>
              <c:strCache>
                <c:ptCount val="6"/>
                <c:pt idx="0">
                  <c:v>Young Adults</c:v>
                </c:pt>
                <c:pt idx="1">
                  <c:v>Young Professionals</c:v>
                </c:pt>
                <c:pt idx="2">
                  <c:v>Early Adults</c:v>
                </c:pt>
                <c:pt idx="3">
                  <c:v>Middle Adults</c:v>
                </c:pt>
                <c:pt idx="4">
                  <c:v>Older Adults</c:v>
                </c:pt>
                <c:pt idx="5">
                  <c:v>Seniors</c:v>
                </c:pt>
              </c:strCache>
            </c:strRef>
          </c:cat>
          <c:val>
            <c:numRef>
              <c:f>Arkusz8!$G$12:$G$17</c:f>
              <c:numCache>
                <c:formatCode>General</c:formatCode>
                <c:ptCount val="6"/>
                <c:pt idx="0">
                  <c:v>2882.75</c:v>
                </c:pt>
                <c:pt idx="1">
                  <c:v>2615.4899999999998</c:v>
                </c:pt>
                <c:pt idx="2">
                  <c:v>2733.3</c:v>
                </c:pt>
                <c:pt idx="3">
                  <c:v>2510.8200000000002</c:v>
                </c:pt>
                <c:pt idx="4">
                  <c:v>2651.78</c:v>
                </c:pt>
                <c:pt idx="5">
                  <c:v>2674.89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26-472C-A42C-7F0BB1170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7066112"/>
        <c:axId val="1636624537"/>
      </c:barChart>
      <c:catAx>
        <c:axId val="118706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layout>
            <c:manualLayout>
              <c:xMode val="edge"/>
              <c:yMode val="edge"/>
              <c:x val="5.8287826849489792E-2"/>
              <c:y val="0.95258397932816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1636624537"/>
        <c:crosses val="autoZero"/>
        <c:auto val="1"/>
        <c:lblAlgn val="ctr"/>
        <c:lblOffset val="100"/>
        <c:noMultiLvlLbl val="1"/>
      </c:catAx>
      <c:valAx>
        <c:axId val="1636624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11870661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chemeClr val="dk1"/>
                </a:solidFill>
                <a:latin typeface="+mn-lt"/>
              </a:defRPr>
            </a:pPr>
            <a:r>
              <a:rPr sz="2000" b="1">
                <a:solidFill>
                  <a:schemeClr val="dk1"/>
                </a:solidFill>
                <a:latin typeface="+mn-lt"/>
              </a:rPr>
              <a:t>Number of Orders - age distribution by gender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88D-4B0D-904D-44740DD66D5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88D-4B0D-904D-44740DD66D5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88D-4B0D-904D-44740DD66D5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88D-4B0D-904D-44740DD66D5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188D-4B0D-904D-44740DD66D5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188D-4B0D-904D-44740DD66D5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188D-4B0D-904D-44740DD66D53}"/>
              </c:ext>
            </c:extLst>
          </c:dPt>
          <c:cat>
            <c:strRef>
              <c:f>Arkusz1!$B$11:$B$17</c:f>
              <c:strCache>
                <c:ptCount val="7"/>
                <c:pt idx="0">
                  <c:v>UnderAge</c:v>
                </c:pt>
                <c:pt idx="1">
                  <c:v>Young Adults</c:v>
                </c:pt>
                <c:pt idx="2">
                  <c:v>Young Professionals</c:v>
                </c:pt>
                <c:pt idx="3">
                  <c:v>Early Adults</c:v>
                </c:pt>
                <c:pt idx="4">
                  <c:v>Middle Adults</c:v>
                </c:pt>
                <c:pt idx="5">
                  <c:v>Older Adults</c:v>
                </c:pt>
                <c:pt idx="6">
                  <c:v>Seniors</c:v>
                </c:pt>
              </c:strCache>
            </c:strRef>
          </c:cat>
          <c:val>
            <c:numRef>
              <c:f>Arkusz1!$H$11:$H$17</c:f>
              <c:numCache>
                <c:formatCode>0.0000</c:formatCode>
                <c:ptCount val="7"/>
                <c:pt idx="0">
                  <c:v>1.1921362713295613E-2</c:v>
                </c:pt>
                <c:pt idx="1">
                  <c:v>0.14874497887485172</c:v>
                </c:pt>
                <c:pt idx="2">
                  <c:v>0.33217102896271211</c:v>
                </c:pt>
                <c:pt idx="3">
                  <c:v>0.27920131775731499</c:v>
                </c:pt>
                <c:pt idx="4">
                  <c:v>0.15822973933261777</c:v>
                </c:pt>
                <c:pt idx="5">
                  <c:v>6.2389802841860201E-2</c:v>
                </c:pt>
                <c:pt idx="6">
                  <c:v>7.3417695173475968E-3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8D-4B0D-904D-44740DD6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600" b="1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chemeClr val="lt1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 title="Wykre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2" title="Wykres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3" name="Chart 3" title="Wykres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4" name="Chart 4" title="Wykres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H18"/>
  <sheetViews>
    <sheetView workbookViewId="0"/>
  </sheetViews>
  <sheetFormatPr defaultColWidth="12.5703125" defaultRowHeight="15.75" customHeight="1"/>
  <sheetData>
    <row r="4" spans="2:8">
      <c r="C4" s="1" t="s">
        <v>0</v>
      </c>
    </row>
    <row r="8" spans="2:8">
      <c r="C8" s="1" t="s">
        <v>1</v>
      </c>
      <c r="E8" s="2"/>
    </row>
    <row r="9" spans="2:8">
      <c r="C9" s="1" t="s">
        <v>2</v>
      </c>
      <c r="D9" s="3"/>
      <c r="E9" s="3"/>
      <c r="F9" s="3"/>
      <c r="G9" s="3"/>
      <c r="H9" s="3"/>
    </row>
    <row r="10" spans="2:8">
      <c r="B10" s="1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</row>
    <row r="11" spans="2:8">
      <c r="B11" s="4" t="s">
        <v>9</v>
      </c>
      <c r="C11" s="1" t="s">
        <v>10</v>
      </c>
      <c r="D11" s="1">
        <v>16038</v>
      </c>
      <c r="E11" s="1">
        <v>5786</v>
      </c>
      <c r="F11" s="1">
        <v>10252</v>
      </c>
      <c r="G11" s="5" t="s">
        <v>11</v>
      </c>
      <c r="H11" s="6">
        <f t="shared" ref="H11:H17" si="0">D11/$D$18</f>
        <v>1.1921362713295613E-2</v>
      </c>
    </row>
    <row r="12" spans="2:8">
      <c r="B12" s="4" t="s">
        <v>12</v>
      </c>
      <c r="C12" s="1" t="s">
        <v>13</v>
      </c>
      <c r="D12" s="1">
        <v>200109</v>
      </c>
      <c r="E12" s="1">
        <v>92521</v>
      </c>
      <c r="F12" s="1">
        <v>107588</v>
      </c>
      <c r="G12" s="5" t="s">
        <v>14</v>
      </c>
      <c r="H12" s="6">
        <f t="shared" si="0"/>
        <v>0.14874497887485172</v>
      </c>
    </row>
    <row r="13" spans="2:8">
      <c r="B13" s="4" t="s">
        <v>15</v>
      </c>
      <c r="C13" s="1" t="s">
        <v>16</v>
      </c>
      <c r="D13" s="1">
        <v>446875</v>
      </c>
      <c r="E13" s="1">
        <v>214441</v>
      </c>
      <c r="F13" s="1">
        <v>232434</v>
      </c>
      <c r="G13" s="5" t="s">
        <v>17</v>
      </c>
      <c r="H13" s="6">
        <f t="shared" si="0"/>
        <v>0.33217102896271211</v>
      </c>
    </row>
    <row r="14" spans="2:8">
      <c r="B14" s="4" t="s">
        <v>18</v>
      </c>
      <c r="C14" s="1" t="s">
        <v>19</v>
      </c>
      <c r="D14" s="1">
        <v>375614</v>
      </c>
      <c r="E14" s="1">
        <v>181821</v>
      </c>
      <c r="F14" s="1">
        <v>193793</v>
      </c>
      <c r="G14" s="5" t="s">
        <v>20</v>
      </c>
      <c r="H14" s="6">
        <f t="shared" si="0"/>
        <v>0.27920131775731499</v>
      </c>
    </row>
    <row r="15" spans="2:8">
      <c r="B15" s="4" t="s">
        <v>21</v>
      </c>
      <c r="C15" s="1" t="s">
        <v>22</v>
      </c>
      <c r="D15" s="1">
        <v>212869</v>
      </c>
      <c r="E15" s="1">
        <v>107081</v>
      </c>
      <c r="F15" s="1">
        <v>105788</v>
      </c>
      <c r="G15" s="5" t="s">
        <v>23</v>
      </c>
      <c r="H15" s="6">
        <f t="shared" si="0"/>
        <v>0.15822973933261777</v>
      </c>
    </row>
    <row r="16" spans="2:8">
      <c r="B16" s="4" t="s">
        <v>24</v>
      </c>
      <c r="C16" s="1" t="s">
        <v>25</v>
      </c>
      <c r="D16" s="1">
        <v>83934</v>
      </c>
      <c r="E16" s="1">
        <v>39577</v>
      </c>
      <c r="F16" s="1">
        <v>44357</v>
      </c>
      <c r="G16" s="5" t="s">
        <v>26</v>
      </c>
      <c r="H16" s="6">
        <f t="shared" si="0"/>
        <v>6.2389802841860201E-2</v>
      </c>
    </row>
    <row r="17" spans="2:8">
      <c r="B17" s="4" t="s">
        <v>27</v>
      </c>
      <c r="C17" s="1" t="s">
        <v>28</v>
      </c>
      <c r="D17" s="1">
        <v>9877</v>
      </c>
      <c r="E17" s="1">
        <v>4506</v>
      </c>
      <c r="F17" s="1">
        <v>5371</v>
      </c>
      <c r="G17" s="5" t="s">
        <v>29</v>
      </c>
      <c r="H17" s="6">
        <f t="shared" si="0"/>
        <v>7.3417695173475968E-3</v>
      </c>
    </row>
    <row r="18" spans="2:8">
      <c r="C18" s="1" t="s">
        <v>30</v>
      </c>
      <c r="D18" s="1">
        <v>1345316</v>
      </c>
      <c r="E18" s="1">
        <v>645733</v>
      </c>
      <c r="F18" s="1">
        <v>699583</v>
      </c>
      <c r="G18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D11:H20"/>
  <sheetViews>
    <sheetView workbookViewId="0"/>
  </sheetViews>
  <sheetFormatPr defaultColWidth="12.5703125" defaultRowHeight="15.75" customHeight="1"/>
  <sheetData>
    <row r="11" spans="4:8">
      <c r="E11" s="1" t="s">
        <v>1</v>
      </c>
    </row>
    <row r="12" spans="4:8">
      <c r="E12" s="1" t="s">
        <v>2</v>
      </c>
    </row>
    <row r="13" spans="4:8">
      <c r="D13" s="1" t="s">
        <v>3</v>
      </c>
      <c r="E13" s="3" t="s">
        <v>4</v>
      </c>
      <c r="F13" s="3" t="s">
        <v>32</v>
      </c>
      <c r="G13" s="3" t="s">
        <v>33</v>
      </c>
      <c r="H13" s="3" t="s">
        <v>34</v>
      </c>
    </row>
    <row r="14" spans="4:8">
      <c r="D14" s="4" t="s">
        <v>9</v>
      </c>
      <c r="E14" s="1" t="s">
        <v>10</v>
      </c>
      <c r="F14" s="1">
        <v>19.010000000000002</v>
      </c>
      <c r="G14" s="1">
        <v>72.77</v>
      </c>
      <c r="H14" s="1">
        <v>8.2200000000000006</v>
      </c>
    </row>
    <row r="15" spans="4:8">
      <c r="D15" s="4" t="s">
        <v>12</v>
      </c>
      <c r="E15" s="1" t="s">
        <v>13</v>
      </c>
      <c r="F15" s="1">
        <v>32.53</v>
      </c>
      <c r="G15" s="1">
        <v>59.03</v>
      </c>
      <c r="H15" s="1">
        <v>8.44</v>
      </c>
    </row>
    <row r="16" spans="4:8">
      <c r="D16" s="4" t="s">
        <v>15</v>
      </c>
      <c r="E16" s="1" t="s">
        <v>16</v>
      </c>
      <c r="F16" s="1">
        <v>33.19</v>
      </c>
      <c r="G16" s="1">
        <v>54.14</v>
      </c>
      <c r="H16" s="1">
        <v>12.67</v>
      </c>
    </row>
    <row r="17" spans="4:8">
      <c r="D17" s="4" t="s">
        <v>18</v>
      </c>
      <c r="E17" s="1" t="s">
        <v>19</v>
      </c>
      <c r="F17" s="1">
        <v>33.299999999999997</v>
      </c>
      <c r="G17" s="1">
        <v>52.31</v>
      </c>
      <c r="H17" s="1">
        <v>14.39</v>
      </c>
    </row>
    <row r="18" spans="4:8">
      <c r="D18" s="4" t="s">
        <v>21</v>
      </c>
      <c r="E18" s="1" t="s">
        <v>22</v>
      </c>
      <c r="F18" s="1">
        <v>31.76</v>
      </c>
      <c r="G18" s="1">
        <v>53.21</v>
      </c>
      <c r="H18" s="1">
        <v>15.03</v>
      </c>
    </row>
    <row r="19" spans="4:8">
      <c r="D19" s="4" t="s">
        <v>24</v>
      </c>
      <c r="E19" s="1" t="s">
        <v>25</v>
      </c>
      <c r="F19" s="1">
        <v>36.479999999999997</v>
      </c>
      <c r="G19" s="1">
        <v>55.04</v>
      </c>
      <c r="H19" s="1">
        <v>8.48</v>
      </c>
    </row>
    <row r="20" spans="4:8">
      <c r="D20" s="4" t="s">
        <v>27</v>
      </c>
      <c r="E20" s="1" t="s">
        <v>28</v>
      </c>
      <c r="F20" s="1">
        <v>43.75</v>
      </c>
      <c r="G20" s="1">
        <v>45</v>
      </c>
      <c r="H20" s="1">
        <v>11.25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D8:G17"/>
  <sheetViews>
    <sheetView workbookViewId="0"/>
  </sheetViews>
  <sheetFormatPr defaultColWidth="12.5703125" defaultRowHeight="15.75" customHeight="1"/>
  <sheetData>
    <row r="8" spans="4:7">
      <c r="E8" s="1" t="s">
        <v>1</v>
      </c>
    </row>
    <row r="9" spans="4:7">
      <c r="E9" s="1" t="s">
        <v>2</v>
      </c>
    </row>
    <row r="10" spans="4:7">
      <c r="D10" s="1" t="s">
        <v>3</v>
      </c>
      <c r="E10" s="3" t="s">
        <v>4</v>
      </c>
      <c r="F10" s="3" t="s">
        <v>35</v>
      </c>
      <c r="G10" s="1" t="s">
        <v>36</v>
      </c>
    </row>
    <row r="11" spans="4:7">
      <c r="D11" s="4" t="s">
        <v>9</v>
      </c>
      <c r="E11" s="1" t="s">
        <v>10</v>
      </c>
      <c r="F11" s="7">
        <v>9894</v>
      </c>
      <c r="G11" s="1">
        <v>1927.2</v>
      </c>
    </row>
    <row r="12" spans="4:7">
      <c r="D12" s="4" t="s">
        <v>12</v>
      </c>
      <c r="E12" s="1" t="s">
        <v>13</v>
      </c>
      <c r="F12" s="1" t="s">
        <v>37</v>
      </c>
      <c r="G12" s="1">
        <v>2882.75</v>
      </c>
    </row>
    <row r="13" spans="4:7">
      <c r="D13" s="4" t="s">
        <v>15</v>
      </c>
      <c r="E13" s="1" t="s">
        <v>16</v>
      </c>
      <c r="F13" s="1" t="s">
        <v>38</v>
      </c>
      <c r="G13" s="1">
        <v>2615.4899999999998</v>
      </c>
    </row>
    <row r="14" spans="4:7">
      <c r="D14" s="4" t="s">
        <v>18</v>
      </c>
      <c r="E14" s="1" t="s">
        <v>19</v>
      </c>
      <c r="F14" s="7">
        <v>304308</v>
      </c>
      <c r="G14" s="1">
        <v>2733.3</v>
      </c>
    </row>
    <row r="15" spans="4:7">
      <c r="D15" s="4" t="s">
        <v>21</v>
      </c>
      <c r="E15" s="1" t="s">
        <v>22</v>
      </c>
      <c r="F15" s="1" t="s">
        <v>39</v>
      </c>
      <c r="G15" s="1">
        <v>2510.8200000000002</v>
      </c>
    </row>
    <row r="16" spans="4:7">
      <c r="D16" s="4" t="s">
        <v>24</v>
      </c>
      <c r="E16" s="1" t="s">
        <v>25</v>
      </c>
      <c r="F16" s="1" t="s">
        <v>40</v>
      </c>
      <c r="G16" s="1">
        <v>2651.78</v>
      </c>
    </row>
    <row r="17" spans="4:7">
      <c r="D17" s="4" t="s">
        <v>27</v>
      </c>
      <c r="E17" s="1" t="s">
        <v>28</v>
      </c>
      <c r="F17" s="1" t="s">
        <v>41</v>
      </c>
      <c r="G17" s="1">
        <v>2674.89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5:J21"/>
  <sheetViews>
    <sheetView workbookViewId="0"/>
  </sheetViews>
  <sheetFormatPr defaultColWidth="12.5703125" defaultRowHeight="15.75" customHeight="1"/>
  <cols>
    <col min="10" max="10" width="16.7109375" customWidth="1"/>
  </cols>
  <sheetData>
    <row r="5" spans="3:10">
      <c r="C5" s="1" t="s">
        <v>42</v>
      </c>
    </row>
    <row r="13" spans="3:10">
      <c r="D13" s="1" t="s">
        <v>1</v>
      </c>
    </row>
    <row r="14" spans="3:10">
      <c r="D14" s="1" t="s">
        <v>2</v>
      </c>
    </row>
    <row r="15" spans="3:10">
      <c r="D15" s="3" t="s">
        <v>43</v>
      </c>
      <c r="E15" s="3" t="s">
        <v>44</v>
      </c>
      <c r="F15" s="3" t="s">
        <v>45</v>
      </c>
      <c r="G15" s="3" t="s">
        <v>46</v>
      </c>
      <c r="H15" s="3" t="s">
        <v>47</v>
      </c>
      <c r="I15" s="3" t="s">
        <v>48</v>
      </c>
    </row>
    <row r="16" spans="3:10">
      <c r="D16" s="1" t="s">
        <v>49</v>
      </c>
      <c r="E16" s="1" t="s">
        <v>50</v>
      </c>
      <c r="F16" s="1" t="s">
        <v>51</v>
      </c>
      <c r="G16" s="1" t="s">
        <v>52</v>
      </c>
      <c r="H16" s="1" t="s">
        <v>53</v>
      </c>
      <c r="I16" s="1" t="s">
        <v>54</v>
      </c>
      <c r="J16" s="1" t="str">
        <f ca="1">IFERROR(__xludf.DUMMYFUNCTION("SPARKLINE(E16:I16)"),"#N/A")</f>
        <v>#N/A</v>
      </c>
    </row>
    <row r="17" spans="4:9"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59</v>
      </c>
      <c r="I17" s="1" t="s">
        <v>60</v>
      </c>
    </row>
    <row r="18" spans="4:9">
      <c r="D18" s="1" t="s">
        <v>61</v>
      </c>
      <c r="E18" s="1" t="s">
        <v>62</v>
      </c>
      <c r="F18" s="1" t="s">
        <v>63</v>
      </c>
      <c r="G18" s="1" t="s">
        <v>64</v>
      </c>
      <c r="H18" s="1" t="s">
        <v>65</v>
      </c>
      <c r="I18" s="1" t="s">
        <v>66</v>
      </c>
    </row>
    <row r="19" spans="4:9">
      <c r="D19" s="1" t="s">
        <v>67</v>
      </c>
      <c r="E19" s="1" t="s">
        <v>68</v>
      </c>
      <c r="F19" s="1" t="s">
        <v>69</v>
      </c>
      <c r="G19" s="1" t="s">
        <v>70</v>
      </c>
      <c r="H19" s="1" t="s">
        <v>71</v>
      </c>
      <c r="I19" s="1" t="s">
        <v>72</v>
      </c>
    </row>
    <row r="20" spans="4:9">
      <c r="D20" s="1" t="s">
        <v>73</v>
      </c>
      <c r="E20" s="1" t="s">
        <v>74</v>
      </c>
      <c r="F20" s="1" t="s">
        <v>75</v>
      </c>
      <c r="G20" s="1" t="s">
        <v>76</v>
      </c>
      <c r="H20" s="1" t="s">
        <v>77</v>
      </c>
      <c r="I20" s="1" t="s">
        <v>78</v>
      </c>
    </row>
    <row r="21" spans="4:9">
      <c r="D21" s="1" t="s">
        <v>79</v>
      </c>
      <c r="E21" s="1" t="s">
        <v>80</v>
      </c>
      <c r="F21" s="1" t="s">
        <v>81</v>
      </c>
      <c r="G21" s="1" t="s">
        <v>82</v>
      </c>
      <c r="H21" s="1" t="s">
        <v>83</v>
      </c>
      <c r="I21" s="1" t="s">
        <v>84</v>
      </c>
    </row>
  </sheetData>
  <conditionalFormatting sqref="F16:I17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C4:I21"/>
  <sheetViews>
    <sheetView workbookViewId="0"/>
  </sheetViews>
  <sheetFormatPr defaultColWidth="12.5703125" defaultRowHeight="15.75" customHeight="1"/>
  <cols>
    <col min="3" max="9" width="29.28515625" customWidth="1"/>
  </cols>
  <sheetData>
    <row r="4" spans="3:9" ht="12.75">
      <c r="C4" s="1"/>
    </row>
    <row r="12" spans="3:9" ht="61.5" customHeight="1">
      <c r="C12" s="17" t="s">
        <v>85</v>
      </c>
      <c r="D12" s="18"/>
      <c r="E12" s="18"/>
      <c r="F12" s="18"/>
      <c r="G12" s="18"/>
      <c r="H12" s="18"/>
      <c r="I12" s="19"/>
    </row>
    <row r="13" spans="3:9" ht="12.75">
      <c r="C13" s="20"/>
      <c r="D13" s="21"/>
      <c r="E13" s="21"/>
      <c r="F13" s="21"/>
      <c r="G13" s="21"/>
      <c r="H13" s="21"/>
      <c r="I13" s="22"/>
    </row>
    <row r="14" spans="3:9" ht="36.75" customHeight="1">
      <c r="C14" s="8" t="s">
        <v>43</v>
      </c>
      <c r="D14" s="8" t="s">
        <v>86</v>
      </c>
      <c r="E14" s="8" t="s">
        <v>87</v>
      </c>
      <c r="F14" s="8" t="s">
        <v>88</v>
      </c>
      <c r="G14" s="8" t="s">
        <v>89</v>
      </c>
      <c r="H14" s="8" t="s">
        <v>90</v>
      </c>
      <c r="I14" s="9" t="s">
        <v>91</v>
      </c>
    </row>
    <row r="15" spans="3:9" ht="36.75" customHeight="1">
      <c r="C15" s="10" t="s">
        <v>49</v>
      </c>
      <c r="D15" s="11">
        <v>6422</v>
      </c>
      <c r="E15" s="11">
        <v>5614</v>
      </c>
      <c r="F15" s="11">
        <v>5730</v>
      </c>
      <c r="G15" s="11">
        <v>6170</v>
      </c>
      <c r="H15" s="11" t="s">
        <v>92</v>
      </c>
      <c r="I15" s="12"/>
    </row>
    <row r="16" spans="3:9" ht="36.75" customHeight="1">
      <c r="C16" s="10" t="s">
        <v>55</v>
      </c>
      <c r="D16" s="11">
        <v>3586</v>
      </c>
      <c r="E16" s="11">
        <v>3526</v>
      </c>
      <c r="F16" s="11">
        <v>3388</v>
      </c>
      <c r="G16" s="11">
        <v>3678</v>
      </c>
      <c r="H16" s="11" t="s">
        <v>93</v>
      </c>
      <c r="I16" s="12"/>
    </row>
    <row r="17" spans="3:9" ht="36.75" customHeight="1">
      <c r="C17" s="10" t="s">
        <v>61</v>
      </c>
      <c r="D17" s="11">
        <v>3178</v>
      </c>
      <c r="E17" s="11">
        <v>2616</v>
      </c>
      <c r="F17" s="11">
        <v>2168</v>
      </c>
      <c r="G17" s="11">
        <v>3036</v>
      </c>
      <c r="H17" s="11" t="s">
        <v>94</v>
      </c>
      <c r="I17" s="12"/>
    </row>
    <row r="18" spans="3:9" ht="36.75" customHeight="1">
      <c r="C18" s="10" t="s">
        <v>67</v>
      </c>
      <c r="D18" s="11">
        <v>3346</v>
      </c>
      <c r="E18" s="11">
        <v>2632</v>
      </c>
      <c r="F18" s="11">
        <v>2214</v>
      </c>
      <c r="G18" s="11">
        <v>2906</v>
      </c>
      <c r="H18" s="11" t="s">
        <v>95</v>
      </c>
      <c r="I18" s="12"/>
    </row>
    <row r="19" spans="3:9" ht="36.75" customHeight="1">
      <c r="C19" s="10" t="s">
        <v>73</v>
      </c>
      <c r="D19" s="11">
        <v>3712</v>
      </c>
      <c r="E19" s="11">
        <v>3202</v>
      </c>
      <c r="F19" s="11">
        <v>3126</v>
      </c>
      <c r="G19" s="11">
        <v>3580</v>
      </c>
      <c r="H19" s="11" t="s">
        <v>96</v>
      </c>
      <c r="I19" s="12"/>
    </row>
    <row r="20" spans="3:9" ht="36.75" customHeight="1">
      <c r="C20" s="10" t="s">
        <v>79</v>
      </c>
      <c r="D20" s="11">
        <v>10740</v>
      </c>
      <c r="E20" s="11">
        <v>9306</v>
      </c>
      <c r="F20" s="11">
        <v>9024</v>
      </c>
      <c r="G20" s="11">
        <v>10136</v>
      </c>
      <c r="H20" s="11" t="s">
        <v>97</v>
      </c>
      <c r="I20" s="12"/>
    </row>
    <row r="21" spans="3:9" ht="36.75" customHeight="1">
      <c r="C21" s="13" t="s">
        <v>98</v>
      </c>
      <c r="D21" s="14" t="s">
        <v>99</v>
      </c>
      <c r="E21" s="14" t="s">
        <v>100</v>
      </c>
      <c r="F21" s="14" t="s">
        <v>101</v>
      </c>
      <c r="G21" s="14" t="s">
        <v>102</v>
      </c>
      <c r="H21" s="15" t="s">
        <v>31</v>
      </c>
      <c r="I21" s="16"/>
    </row>
  </sheetData>
  <mergeCells count="1">
    <mergeCell ref="C12:I13"/>
  </mergeCells>
  <conditionalFormatting sqref="D15:G1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FFFFFF"/>
        <color rgb="FF57BB8A"/>
      </colorScale>
    </cfRule>
  </conditionalFormatting>
  <conditionalFormatting sqref="D16:G16">
    <cfRule type="colorScale" priority="3">
      <colorScale>
        <cfvo type="min"/>
        <cfvo type="max"/>
        <color rgb="FFFFFFFF"/>
        <color rgb="FF57BB8A"/>
      </colorScale>
    </cfRule>
  </conditionalFormatting>
  <conditionalFormatting sqref="D17:G17">
    <cfRule type="colorScale" priority="4">
      <colorScale>
        <cfvo type="min"/>
        <cfvo type="max"/>
        <color rgb="FFFFFFFF"/>
        <color rgb="FF57BB8A"/>
      </colorScale>
    </cfRule>
  </conditionalFormatting>
  <conditionalFormatting sqref="D18:G18">
    <cfRule type="colorScale" priority="5">
      <colorScale>
        <cfvo type="min"/>
        <cfvo type="max"/>
        <color rgb="FFFFFFFF"/>
        <color rgb="FF57BB8A"/>
      </colorScale>
    </cfRule>
  </conditionalFormatting>
  <conditionalFormatting sqref="D19:G19">
    <cfRule type="colorScale" priority="6">
      <colorScale>
        <cfvo type="min"/>
        <cfvo type="max"/>
        <color rgb="FFFFFFFF"/>
        <color rgb="FF57BB8A"/>
      </colorScale>
    </cfRule>
  </conditionalFormatting>
  <conditionalFormatting sqref="D20:G20">
    <cfRule type="colorScale" priority="7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800-000005000000}">
          <x14:colorSeries rgb="FF000000"/>
          <x14:sparklines>
            <x14:sparkline>
              <xm:f>'Number of orders for every coun'!D20:G20</xm:f>
              <xm:sqref>I20</xm:sqref>
            </x14:sparkline>
          </x14:sparklines>
        </x14:sparklineGroup>
        <x14:sparklineGroup displayEmptyCellsAs="gap" xr2:uid="{00000000-0003-0000-0800-000004000000}">
          <x14:colorSeries rgb="FF000000"/>
          <x14:sparklines>
            <x14:sparkline>
              <xm:f>'Number of orders for every coun'!D19:G19</xm:f>
              <xm:sqref>I19</xm:sqref>
            </x14:sparkline>
          </x14:sparklines>
        </x14:sparklineGroup>
        <x14:sparklineGroup displayEmptyCellsAs="gap" xr2:uid="{00000000-0003-0000-0800-000003000000}">
          <x14:colorSeries rgb="FF000000"/>
          <x14:sparklines>
            <x14:sparkline>
              <xm:f>'Number of orders for every coun'!D18:G18</xm:f>
              <xm:sqref>I18</xm:sqref>
            </x14:sparkline>
          </x14:sparklines>
        </x14:sparklineGroup>
        <x14:sparklineGroup displayEmptyCellsAs="gap" xr2:uid="{00000000-0003-0000-0800-000002000000}">
          <x14:colorSeries rgb="FF000000"/>
          <x14:sparklines>
            <x14:sparkline>
              <xm:f>'Number of orders for every coun'!D17:G17</xm:f>
              <xm:sqref>I17</xm:sqref>
            </x14:sparkline>
          </x14:sparklines>
        </x14:sparklineGroup>
        <x14:sparklineGroup displayEmptyCellsAs="gap" xr2:uid="{00000000-0003-0000-0800-000001000000}">
          <x14:colorSeries rgb="FF000000"/>
          <x14:sparklines>
            <x14:sparkline>
              <xm:f>'Number of orders for every coun'!D16:G16</xm:f>
              <xm:sqref>I16</xm:sqref>
            </x14:sparkline>
          </x14:sparklines>
        </x14:sparklineGroup>
        <x14:sparklineGroup displayEmptyCellsAs="gap" xr2:uid="{00000000-0003-0000-0800-000000000000}">
          <x14:colorSeries rgb="FF000000"/>
          <x14:sparklines>
            <x14:sparkline>
              <xm:f>'Number of orders for every coun'!D15:G15</xm:f>
              <xm:sqref>I15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6:E18"/>
  <sheetViews>
    <sheetView workbookViewId="0"/>
  </sheetViews>
  <sheetFormatPr defaultColWidth="12.5703125" defaultRowHeight="15.75" customHeight="1"/>
  <sheetData>
    <row r="6" spans="2:5">
      <c r="B6" s="1" t="s">
        <v>103</v>
      </c>
    </row>
    <row r="13" spans="2:5">
      <c r="B13" s="1" t="s">
        <v>1</v>
      </c>
    </row>
    <row r="14" spans="2:5">
      <c r="B14" s="1" t="s">
        <v>2</v>
      </c>
    </row>
    <row r="15" spans="2:5">
      <c r="B15" s="3" t="s">
        <v>104</v>
      </c>
      <c r="C15" s="3" t="s">
        <v>105</v>
      </c>
      <c r="D15" s="3" t="s">
        <v>106</v>
      </c>
      <c r="E15" s="3" t="s">
        <v>107</v>
      </c>
    </row>
    <row r="16" spans="2:5">
      <c r="B16" s="1" t="s">
        <v>108</v>
      </c>
      <c r="C16" s="1">
        <v>2195</v>
      </c>
      <c r="D16" s="1" t="s">
        <v>109</v>
      </c>
      <c r="E16" s="1" t="s">
        <v>110</v>
      </c>
    </row>
    <row r="17" spans="2:5">
      <c r="B17" s="1" t="s">
        <v>111</v>
      </c>
      <c r="C17" s="1">
        <v>4601</v>
      </c>
      <c r="D17" s="1" t="s">
        <v>112</v>
      </c>
      <c r="E17" s="1" t="s">
        <v>113</v>
      </c>
    </row>
    <row r="18" spans="2:5">
      <c r="B18" s="1" t="s">
        <v>114</v>
      </c>
      <c r="C18" s="1">
        <v>621</v>
      </c>
      <c r="D18" s="1" t="s">
        <v>115</v>
      </c>
      <c r="E18" s="1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5:L20"/>
  <sheetViews>
    <sheetView workbookViewId="0"/>
  </sheetViews>
  <sheetFormatPr defaultColWidth="12.5703125" defaultRowHeight="15.75" customHeight="1"/>
  <sheetData>
    <row r="5" spans="2:12">
      <c r="B5" s="1" t="s">
        <v>116</v>
      </c>
    </row>
    <row r="11" spans="2:12">
      <c r="B11" s="1" t="s">
        <v>1</v>
      </c>
      <c r="F11" s="1" t="s">
        <v>1</v>
      </c>
    </row>
    <row r="12" spans="2:12">
      <c r="B12" s="1" t="s">
        <v>2</v>
      </c>
      <c r="F12" s="1" t="s">
        <v>2</v>
      </c>
      <c r="J12" s="1" t="s">
        <v>1</v>
      </c>
    </row>
    <row r="13" spans="2:12">
      <c r="B13" s="3" t="s">
        <v>117</v>
      </c>
      <c r="C13" s="3" t="s">
        <v>118</v>
      </c>
      <c r="D13" s="3" t="s">
        <v>119</v>
      </c>
      <c r="F13" s="3" t="s">
        <v>117</v>
      </c>
      <c r="G13" s="3" t="s">
        <v>120</v>
      </c>
      <c r="H13" s="3" t="s">
        <v>119</v>
      </c>
      <c r="J13" s="1" t="s">
        <v>2</v>
      </c>
    </row>
    <row r="14" spans="2:12">
      <c r="B14" s="1">
        <v>2013</v>
      </c>
      <c r="C14" s="1" t="s">
        <v>121</v>
      </c>
      <c r="D14" s="1">
        <v>0</v>
      </c>
      <c r="F14" s="1">
        <v>2013</v>
      </c>
      <c r="G14" s="1" t="s">
        <v>122</v>
      </c>
      <c r="H14" s="1">
        <v>0</v>
      </c>
      <c r="J14" s="3" t="s">
        <v>117</v>
      </c>
      <c r="K14" s="3" t="s">
        <v>123</v>
      </c>
      <c r="L14" s="3" t="s">
        <v>119</v>
      </c>
    </row>
    <row r="15" spans="2:12">
      <c r="B15" s="1">
        <v>2014</v>
      </c>
      <c r="C15" s="1" t="s">
        <v>124</v>
      </c>
      <c r="D15" s="1" t="s">
        <v>125</v>
      </c>
      <c r="F15" s="1">
        <v>2014</v>
      </c>
      <c r="G15" s="1" t="s">
        <v>126</v>
      </c>
      <c r="H15" s="1" t="s">
        <v>127</v>
      </c>
      <c r="J15" s="1">
        <v>2011</v>
      </c>
      <c r="K15" s="1" t="s">
        <v>128</v>
      </c>
      <c r="L15" s="1">
        <v>0</v>
      </c>
    </row>
    <row r="16" spans="2:12">
      <c r="B16" s="1">
        <v>2015</v>
      </c>
      <c r="C16" s="1" t="s">
        <v>129</v>
      </c>
      <c r="D16" s="1">
        <f>1.66</f>
        <v>1.66</v>
      </c>
      <c r="F16" s="1">
        <v>2015</v>
      </c>
      <c r="G16" s="1" t="s">
        <v>130</v>
      </c>
      <c r="H16" s="1">
        <f>31.09</f>
        <v>31.09</v>
      </c>
      <c r="J16" s="1">
        <v>2012</v>
      </c>
      <c r="K16" s="1" t="s">
        <v>131</v>
      </c>
      <c r="L16" s="1">
        <f>52.45</f>
        <v>52.45</v>
      </c>
    </row>
    <row r="17" spans="2:12">
      <c r="B17" s="1">
        <v>2016</v>
      </c>
      <c r="C17" s="1" t="s">
        <v>132</v>
      </c>
      <c r="D17" s="1" t="s">
        <v>133</v>
      </c>
      <c r="F17" s="1">
        <v>2016</v>
      </c>
      <c r="G17" s="1" t="s">
        <v>134</v>
      </c>
      <c r="H17" s="1" t="s">
        <v>135</v>
      </c>
      <c r="J17" s="1">
        <v>2013</v>
      </c>
      <c r="K17" s="1" t="s">
        <v>136</v>
      </c>
      <c r="L17" s="1" t="s">
        <v>137</v>
      </c>
    </row>
    <row r="18" spans="2:12">
      <c r="J18" s="1">
        <v>2014</v>
      </c>
      <c r="K18" s="7" t="s">
        <v>138</v>
      </c>
      <c r="L18" s="1" t="s">
        <v>139</v>
      </c>
    </row>
    <row r="19" spans="2:12">
      <c r="J19" s="1">
        <v>2015</v>
      </c>
      <c r="K19" s="1" t="s">
        <v>140</v>
      </c>
      <c r="L19" s="1">
        <f>636.52</f>
        <v>636.52</v>
      </c>
    </row>
    <row r="20" spans="2:12">
      <c r="J20" s="1">
        <v>2016</v>
      </c>
      <c r="K20" s="1" t="s">
        <v>141</v>
      </c>
      <c r="L20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Wykresy</vt:lpstr>
      </vt:variant>
      <vt:variant>
        <vt:i4>4</vt:i4>
      </vt:variant>
    </vt:vector>
  </HeadingPairs>
  <TitlesOfParts>
    <vt:vector size="11" baseType="lpstr">
      <vt:lpstr>Arkusz1</vt:lpstr>
      <vt:lpstr>Arkusz7</vt:lpstr>
      <vt:lpstr>Arkusz8</vt:lpstr>
      <vt:lpstr>Arkusz3</vt:lpstr>
      <vt:lpstr>Number of orders for every coun</vt:lpstr>
      <vt:lpstr>Arkusz5</vt:lpstr>
      <vt:lpstr>Arkusz6</vt:lpstr>
      <vt:lpstr>Age Distribution by Gender</vt:lpstr>
      <vt:lpstr>Bike category sales by age grou</vt:lpstr>
      <vt:lpstr>Average spending - age distribu</vt:lpstr>
      <vt:lpstr>Number of Orders - age distribu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Bochenek</cp:lastModifiedBy>
  <dcterms:modified xsi:type="dcterms:W3CDTF">2025-11-02T11:18:59Z</dcterms:modified>
</cp:coreProperties>
</file>