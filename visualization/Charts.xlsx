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eusz\Desktop\ZBIORCZE\TECH\ANALIZA DANYCH\SQL\Projekty MB\SQL Analysis of Bike Sales\visualization\"/>
    </mc:Choice>
  </mc:AlternateContent>
  <xr:revisionPtr revIDLastSave="0" documentId="13_ncr:1_{5641F1FE-7EA1-4E08-A540-C3A7C92916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_group" sheetId="14" r:id="rId1"/>
    <sheet name="country" sheetId="13" r:id="rId2"/>
    <sheet name="Arkusz7" sheetId="3" state="hidden" r:id="rId3"/>
    <sheet name="Arkusz8" sheetId="5" state="hidden" r:id="rId4"/>
    <sheet name="Number of Orders - age distribu" sheetId="7" state="hidden" r:id="rId5"/>
    <sheet name="Arkusz3" sheetId="8" state="hidden" r:id="rId6"/>
    <sheet name="Number of orders for every coun" sheetId="9" r:id="rId7"/>
    <sheet name="Arkusz5" sheetId="10" state="hidden" r:id="rId8"/>
    <sheet name="Arkusz6" sheetId="11" state="hidden" r:id="rId9"/>
  </sheets>
  <definedNames>
    <definedName name="ExternalData_2" localSheetId="1" hidden="1">'country'!$A$1:$F$8</definedName>
    <definedName name="ExternalData_3" localSheetId="0" hidden="1">age_group!$A$1:$E$9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1" l="1"/>
  <c r="L16" i="11"/>
  <c r="H16" i="11"/>
  <c r="D16" i="11"/>
  <c r="J1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38D654-1473-4620-A993-7E12C09D4336}" keepAlive="1" name="Zapytanie — age_group" description="Połączenie z zapytaniem „age_group” w skoroszycie." type="5" refreshedVersion="8" background="1" saveData="1">
    <dbPr connection="Provider=Microsoft.Mashup.OleDb.1;Data Source=$Workbook$;Location=age_group;Extended Properties=&quot;&quot;" command="SELECT * FROM [age_group]"/>
  </connection>
  <connection id="2" xr16:uid="{EE541C56-D229-4F48-9100-F1D2FD991994}" keepAlive="1" name="Zapytanie — country" description="Połączenie z zapytaniem „country” w skoroszycie." type="5" refreshedVersion="8" background="1" saveData="1">
    <dbPr connection="Provider=Microsoft.Mashup.OleDb.1;Data Source=$Workbook$;Location=country;Extended Properties=&quot;&quot;" command="SELECT * FROM [country]"/>
  </connection>
  <connection id="3" xr16:uid="{CEC82C70-2F93-4ECD-A30B-E628045DD55E}" keepAlive="1" name="Zapytanie — csv_results" description="Połączenie z zapytaniem „csv_results” w skoroszycie." type="5" refreshedVersion="0" background="1">
    <dbPr connection="Provider=Microsoft.Mashup.OleDb.1;Data Source=$Workbook$;Location=csv_results;Extended Properties=&quot;&quot;" command="SELECT * FROM [csv_results]"/>
  </connection>
</connections>
</file>

<file path=xl/sharedStrings.xml><?xml version="1.0" encoding="utf-8"?>
<sst xmlns="http://schemas.openxmlformats.org/spreadsheetml/2006/main" count="196" uniqueCount="147">
  <si>
    <t>* sqlite:///bike_sales.db</t>
  </si>
  <si>
    <t>Done.</t>
  </si>
  <si>
    <t>Group</t>
  </si>
  <si>
    <t>Age_Group</t>
  </si>
  <si>
    <t>Total_Sum_of_Orders</t>
  </si>
  <si>
    <t>Female_Orders</t>
  </si>
  <si>
    <t>Male_Orders</t>
  </si>
  <si>
    <t>Group_Percentage</t>
  </si>
  <si>
    <t>UnderAge</t>
  </si>
  <si>
    <t>1. UnderAge (below 18)</t>
  </si>
  <si>
    <t>Young Adults</t>
  </si>
  <si>
    <t>2. Young Adults (18-24)</t>
  </si>
  <si>
    <t>Young Professionals</t>
  </si>
  <si>
    <t>3. Young Professionals (25-34)</t>
  </si>
  <si>
    <t>Early Adults</t>
  </si>
  <si>
    <t>4. Early Adults (35-44)</t>
  </si>
  <si>
    <t>Middle Adults</t>
  </si>
  <si>
    <t>5. Middle Adults (45-54)</t>
  </si>
  <si>
    <t>Older Adults</t>
  </si>
  <si>
    <t>6. Older Adults (55-64)</t>
  </si>
  <si>
    <t>Seniors</t>
  </si>
  <si>
    <t>7. Seniors</t>
  </si>
  <si>
    <t>--</t>
  </si>
  <si>
    <t>Mountaint_Bikes_Orders</t>
  </si>
  <si>
    <t>Road_Bikes_Orders</t>
  </si>
  <si>
    <t>Touring_Bikes_Orders</t>
  </si>
  <si>
    <t>Avg_Money_Spent</t>
  </si>
  <si>
    <t>Average money spent</t>
  </si>
  <si>
    <t>2882.75</t>
  </si>
  <si>
    <t>2615.49</t>
  </si>
  <si>
    <t>2510.82</t>
  </si>
  <si>
    <t>2651.78</t>
  </si>
  <si>
    <t>2674.89</t>
  </si>
  <si>
    <t>--2.0 Average profit of each season for every country</t>
  </si>
  <si>
    <t>Country</t>
  </si>
  <si>
    <t>Avg_Profit_Overall</t>
  </si>
  <si>
    <t>Spring_avg</t>
  </si>
  <si>
    <t>Summer_avg</t>
  </si>
  <si>
    <t>Autumn_avg</t>
  </si>
  <si>
    <t>Winter_avg</t>
  </si>
  <si>
    <t>Australia</t>
  </si>
  <si>
    <t>455.45</t>
  </si>
  <si>
    <t>443.36</t>
  </si>
  <si>
    <t>445.49</t>
  </si>
  <si>
    <t>467.78</t>
  </si>
  <si>
    <t>465.62</t>
  </si>
  <si>
    <t>Canada</t>
  </si>
  <si>
    <t>267.75</t>
  </si>
  <si>
    <t>258.3</t>
  </si>
  <si>
    <t>275.1</t>
  </si>
  <si>
    <t>245.72</t>
  </si>
  <si>
    <t>290.2</t>
  </si>
  <si>
    <t>France</t>
  </si>
  <si>
    <t>390.49</t>
  </si>
  <si>
    <t>383.02</t>
  </si>
  <si>
    <t>386.64</t>
  </si>
  <si>
    <t>376.97</t>
  </si>
  <si>
    <t>411.29</t>
  </si>
  <si>
    <t>Germany</t>
  </si>
  <si>
    <t>393.19</t>
  </si>
  <si>
    <t>415.83</t>
  </si>
  <si>
    <t>403.18</t>
  </si>
  <si>
    <t>362.66</t>
  </si>
  <si>
    <t>381.32</t>
  </si>
  <si>
    <t>United Kingdom</t>
  </si>
  <si>
    <t>356.66</t>
  </si>
  <si>
    <t>354.2</t>
  </si>
  <si>
    <t>359.14</t>
  </si>
  <si>
    <t>326.05</t>
  </si>
  <si>
    <t>383.71</t>
  </si>
  <si>
    <t>United States</t>
  </si>
  <si>
    <t>354.87</t>
  </si>
  <si>
    <t>374.0</t>
  </si>
  <si>
    <t>364.74</t>
  </si>
  <si>
    <t>322.51</t>
  </si>
  <si>
    <t>354.34</t>
  </si>
  <si>
    <t>Number of orders for every country for each season</t>
  </si>
  <si>
    <t>Spring Ord</t>
  </si>
  <si>
    <t>Summer Ord</t>
  </si>
  <si>
    <t>Autumn Ord</t>
  </si>
  <si>
    <t>Winter Ord</t>
  </si>
  <si>
    <t>Country Percent</t>
  </si>
  <si>
    <t>Country sparklines</t>
  </si>
  <si>
    <t>21.18%</t>
  </si>
  <si>
    <t>12.54%</t>
  </si>
  <si>
    <t>9.73%</t>
  </si>
  <si>
    <t>9.82%</t>
  </si>
  <si>
    <t>12.05%</t>
  </si>
  <si>
    <t>34.68%</t>
  </si>
  <si>
    <t>% by Season</t>
  </si>
  <si>
    <t>27.41%</t>
  </si>
  <si>
    <t>23.79%</t>
  </si>
  <si>
    <t>22.69%</t>
  </si>
  <si>
    <t>26.1%</t>
  </si>
  <si>
    <t>--3. Bike sales information (for orders with more than 1 bike)</t>
  </si>
  <si>
    <t>Bike_Type</t>
  </si>
  <si>
    <t>Num_of_Orders</t>
  </si>
  <si>
    <t>Percent_of_Total_Orders</t>
  </si>
  <si>
    <t>Who_Ordered_More</t>
  </si>
  <si>
    <t>Mountain Bikes</t>
  </si>
  <si>
    <t>29.59</t>
  </si>
  <si>
    <t>Females</t>
  </si>
  <si>
    <t>Road Bikes</t>
  </si>
  <si>
    <t>62.03</t>
  </si>
  <si>
    <t>Males</t>
  </si>
  <si>
    <t>Touring Bikes</t>
  </si>
  <si>
    <t>8.37</t>
  </si>
  <si>
    <t>--4. Avg product total cost change over the years</t>
  </si>
  <si>
    <t>Year</t>
  </si>
  <si>
    <t>Avg_Acc_Cost</t>
  </si>
  <si>
    <t>Change_Over_Year</t>
  </si>
  <si>
    <t>Avg_Clothes_Cost</t>
  </si>
  <si>
    <t>93.11</t>
  </si>
  <si>
    <t>354.23</t>
  </si>
  <si>
    <t>Avg_Bikes_Cost</t>
  </si>
  <si>
    <t>88.75</t>
  </si>
  <si>
    <t>-4.36</t>
  </si>
  <si>
    <t>313.26</t>
  </si>
  <si>
    <t>-40.97</t>
  </si>
  <si>
    <t>2272.54</t>
  </si>
  <si>
    <t>90.41</t>
  </si>
  <si>
    <t>344.35</t>
  </si>
  <si>
    <t>2324.99</t>
  </si>
  <si>
    <t>85.86</t>
  </si>
  <si>
    <t>-4.55</t>
  </si>
  <si>
    <t>304.75</t>
  </si>
  <si>
    <t>-39.6</t>
  </si>
  <si>
    <t>1150.33</t>
  </si>
  <si>
    <t>-1174.66</t>
  </si>
  <si>
    <t>1090.3</t>
  </si>
  <si>
    <t>-60.03</t>
  </si>
  <si>
    <t>1726.82</t>
  </si>
  <si>
    <t>1630.54</t>
  </si>
  <si>
    <t>-96.28</t>
  </si>
  <si>
    <t>Spring_Ord</t>
  </si>
  <si>
    <t>Summer_Ord</t>
  </si>
  <si>
    <t>Autumn_Ord</t>
  </si>
  <si>
    <t>Winter_Ord</t>
  </si>
  <si>
    <t>Country_Percent</t>
  </si>
  <si>
    <t>Percent_by_Season</t>
  </si>
  <si>
    <t>UnderAge (below 18)</t>
  </si>
  <si>
    <t>Young Adults (18-24)</t>
  </si>
  <si>
    <t>Young Professionals (25-34)</t>
  </si>
  <si>
    <t>Early Adults (35-44)</t>
  </si>
  <si>
    <t>Middle Adults (45-54)</t>
  </si>
  <si>
    <t>Older Adults (55-64)</t>
  </si>
  <si>
    <t>otal Sum--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</si>
</sst>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.m"/>
  </numFmts>
  <fonts count="8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  <font>
      <b/>
      <sz val="10"/>
      <color theme="1"/>
      <name val="Arial"/>
      <family val="2"/>
      <charset val="238"/>
      <scheme val="minor"/>
    </font>
    <font>
      <sz val="11"/>
      <color rgb="FF000000"/>
      <name val="&quot;Aptos Narrow&quot;"/>
    </font>
    <font>
      <b/>
      <sz val="24"/>
      <color theme="1"/>
      <name val="Arial"/>
      <family val="2"/>
      <charset val="238"/>
      <scheme val="minor"/>
    </font>
    <font>
      <sz val="10"/>
      <name val="Arial"/>
      <family val="2"/>
      <charset val="238"/>
    </font>
    <font>
      <b/>
      <sz val="18"/>
      <color theme="1"/>
      <name val="Arial"/>
      <family val="2"/>
      <charset val="238"/>
      <scheme val="minor"/>
    </font>
    <font>
      <sz val="18"/>
      <color theme="1"/>
      <name val="Arial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65" fontId="1" fillId="0" borderId="0" xfId="0" applyNumberFormat="1" applyFont="1"/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/>
    <xf numFmtId="0" fontId="7" fillId="0" borderId="0" xfId="0" applyFont="1" applyAlignment="1">
      <alignment horizontal="center"/>
    </xf>
    <xf numFmtId="0" fontId="7" fillId="0" borderId="9" xfId="0" applyFont="1" applyBorder="1"/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0" fillId="0" borderId="0" xfId="0" applyNumberFormat="1"/>
  </cellXfs>
  <cellStyles count="1">
    <cellStyle name="Normalny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onnections" Target="connections.xml"/><Relationship Id="rId5" Type="http://schemas.openxmlformats.org/officeDocument/2006/relationships/chartsheet" Target="chartsheets/sheet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 b="1"/>
              <a:t>Age Distribution</a:t>
            </a:r>
            <a:r>
              <a:rPr lang="pl-PL" sz="1600" b="1" baseline="0"/>
              <a:t> by Gender</a:t>
            </a:r>
            <a:endParaRPr lang="pl-PL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age_group!$C$1</c:f>
              <c:strCache>
                <c:ptCount val="1"/>
                <c:pt idx="0">
                  <c:v>Female_Orders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age_group!$A$2:$A$9</c15:sqref>
                  </c15:fullRef>
                </c:ext>
              </c:extLst>
              <c:f>age_group!$A$2:$A$8</c:f>
              <c:strCache>
                <c:ptCount val="7"/>
                <c:pt idx="0">
                  <c:v>UnderAge (below 18)</c:v>
                </c:pt>
                <c:pt idx="1">
                  <c:v>Young Adults (18-24)</c:v>
                </c:pt>
                <c:pt idx="2">
                  <c:v>Young Professionals (25-34)</c:v>
                </c:pt>
                <c:pt idx="3">
                  <c:v>Early Adults (35-44)</c:v>
                </c:pt>
                <c:pt idx="4">
                  <c:v>Middle Adults (45-54)</c:v>
                </c:pt>
                <c:pt idx="5">
                  <c:v>Older Adults (55-64)</c:v>
                </c:pt>
                <c:pt idx="6">
                  <c:v>Seniors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age_group!$C$2:$C$9</c15:sqref>
                  </c15:fullRef>
                </c:ext>
              </c:extLst>
              <c:f>age_group!$C$2:$C$8</c:f>
              <c:numCache>
                <c:formatCode>General</c:formatCode>
                <c:ptCount val="7"/>
                <c:pt idx="0">
                  <c:v>5786</c:v>
                </c:pt>
                <c:pt idx="1">
                  <c:v>92521</c:v>
                </c:pt>
                <c:pt idx="2">
                  <c:v>214441</c:v>
                </c:pt>
                <c:pt idx="3">
                  <c:v>181821</c:v>
                </c:pt>
                <c:pt idx="4">
                  <c:v>107081</c:v>
                </c:pt>
                <c:pt idx="5">
                  <c:v>39577</c:v>
                </c:pt>
                <c:pt idx="6">
                  <c:v>4506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C-42B5-AAF7-10808924963F}"/>
            </c:ext>
          </c:extLst>
        </c:ser>
        <c:ser>
          <c:idx val="2"/>
          <c:order val="2"/>
          <c:tx>
            <c:strRef>
              <c:f>age_group!$D$1</c:f>
              <c:strCache>
                <c:ptCount val="1"/>
                <c:pt idx="0">
                  <c:v>Male_Orders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age_group!$A$2:$A$9</c15:sqref>
                  </c15:fullRef>
                </c:ext>
              </c:extLst>
              <c:f>age_group!$A$2:$A$8</c:f>
              <c:strCache>
                <c:ptCount val="7"/>
                <c:pt idx="0">
                  <c:v>UnderAge (below 18)</c:v>
                </c:pt>
                <c:pt idx="1">
                  <c:v>Young Adults (18-24)</c:v>
                </c:pt>
                <c:pt idx="2">
                  <c:v>Young Professionals (25-34)</c:v>
                </c:pt>
                <c:pt idx="3">
                  <c:v>Early Adults (35-44)</c:v>
                </c:pt>
                <c:pt idx="4">
                  <c:v>Middle Adults (45-54)</c:v>
                </c:pt>
                <c:pt idx="5">
                  <c:v>Older Adults (55-64)</c:v>
                </c:pt>
                <c:pt idx="6">
                  <c:v>Seniors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age_group!$D$2:$D$9</c15:sqref>
                  </c15:fullRef>
                </c:ext>
              </c:extLst>
              <c:f>age_group!$D$2:$D$8</c:f>
              <c:numCache>
                <c:formatCode>General</c:formatCode>
                <c:ptCount val="7"/>
                <c:pt idx="0">
                  <c:v>10252</c:v>
                </c:pt>
                <c:pt idx="1">
                  <c:v>107588</c:v>
                </c:pt>
                <c:pt idx="2">
                  <c:v>232434</c:v>
                </c:pt>
                <c:pt idx="3">
                  <c:v>193793</c:v>
                </c:pt>
                <c:pt idx="4">
                  <c:v>105788</c:v>
                </c:pt>
                <c:pt idx="5">
                  <c:v>44357</c:v>
                </c:pt>
                <c:pt idx="6">
                  <c:v>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0C-42B5-AAF7-108089249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327512"/>
        <c:axId val="20953249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age_group!$B$1</c15:sqref>
                        </c15:formulaRef>
                      </c:ext>
                    </c:extLst>
                    <c:strCache>
                      <c:ptCount val="1"/>
                      <c:pt idx="0">
                        <c:v>Total_Sum_of_Orders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age_group!$A$2:$A$9</c15:sqref>
                        </c15:fullRef>
                        <c15:formulaRef>
                          <c15:sqref>age_group!$A$2:$A$8</c15:sqref>
                        </c15:formulaRef>
                      </c:ext>
                    </c:extLst>
                    <c:strCache>
                      <c:ptCount val="7"/>
                      <c:pt idx="0">
                        <c:v>UnderAge (below 18)</c:v>
                      </c:pt>
                      <c:pt idx="1">
                        <c:v>Young Adults (18-24)</c:v>
                      </c:pt>
                      <c:pt idx="2">
                        <c:v>Young Professionals (25-34)</c:v>
                      </c:pt>
                      <c:pt idx="3">
                        <c:v>Early Adults (35-44)</c:v>
                      </c:pt>
                      <c:pt idx="4">
                        <c:v>Middle Adults (45-54)</c:v>
                      </c:pt>
                      <c:pt idx="5">
                        <c:v>Older Adults (55-64)</c:v>
                      </c:pt>
                      <c:pt idx="6">
                        <c:v>Seniors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age_group!$B$2:$B$9</c15:sqref>
                        </c15:fullRef>
                        <c15:formulaRef>
                          <c15:sqref>age_group!$B$2:$B$8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16038</c:v>
                      </c:pt>
                      <c:pt idx="1">
                        <c:v>200109</c:v>
                      </c:pt>
                      <c:pt idx="2">
                        <c:v>446875</c:v>
                      </c:pt>
                      <c:pt idx="3">
                        <c:v>375614</c:v>
                      </c:pt>
                      <c:pt idx="4">
                        <c:v>212869</c:v>
                      </c:pt>
                      <c:pt idx="5">
                        <c:v>83934</c:v>
                      </c:pt>
                      <c:pt idx="6">
                        <c:v>9877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20C-42B5-AAF7-10808924963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age_group!$E$1</c15:sqref>
                        </c15:formulaRef>
                      </c:ext>
                    </c:extLst>
                    <c:strCache>
                      <c:ptCount val="1"/>
                      <c:pt idx="0">
                        <c:v>Group_Percentage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age_group!$A$2:$A$9</c15:sqref>
                        </c15:fullRef>
                        <c15:formulaRef>
                          <c15:sqref>age_group!$A$2:$A$8</c15:sqref>
                        </c15:formulaRef>
                      </c:ext>
                    </c:extLst>
                    <c:strCache>
                      <c:ptCount val="7"/>
                      <c:pt idx="0">
                        <c:v>UnderAge (below 18)</c:v>
                      </c:pt>
                      <c:pt idx="1">
                        <c:v>Young Adults (18-24)</c:v>
                      </c:pt>
                      <c:pt idx="2">
                        <c:v>Young Professionals (25-34)</c:v>
                      </c:pt>
                      <c:pt idx="3">
                        <c:v>Early Adults (35-44)</c:v>
                      </c:pt>
                      <c:pt idx="4">
                        <c:v>Middle Adults (45-54)</c:v>
                      </c:pt>
                      <c:pt idx="5">
                        <c:v>Older Adults (55-64)</c:v>
                      </c:pt>
                      <c:pt idx="6">
                        <c:v>Seniors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age_group!$E$2:$E$9</c15:sqref>
                        </c15:fullRef>
                        <c15:formulaRef>
                          <c15:sqref>age_group!$E$2:$E$8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1.19</c:v>
                      </c:pt>
                      <c:pt idx="1">
                        <c:v>14.87</c:v>
                      </c:pt>
                      <c:pt idx="2">
                        <c:v>33.22</c:v>
                      </c:pt>
                      <c:pt idx="3">
                        <c:v>27.92</c:v>
                      </c:pt>
                      <c:pt idx="4">
                        <c:v>15.82</c:v>
                      </c:pt>
                      <c:pt idx="5">
                        <c:v>6.24</c:v>
                      </c:pt>
                      <c:pt idx="6">
                        <c:v>0.73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20C-42B5-AAF7-10808924963F}"/>
                  </c:ext>
                </c:extLst>
              </c15:ser>
            </c15:filteredBarSeries>
          </c:ext>
        </c:extLst>
      </c:barChart>
      <c:catAx>
        <c:axId val="209532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900000" spcFirstLastPara="1" vertOverflow="ellipsis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95324992"/>
        <c:crosses val="autoZero"/>
        <c:auto val="1"/>
        <c:lblAlgn val="ctr"/>
        <c:lblOffset val="100"/>
        <c:noMultiLvlLbl val="0"/>
      </c:catAx>
      <c:valAx>
        <c:axId val="209532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9532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229338976684277"/>
          <c:y val="8.7464157561879557E-2"/>
          <c:w val="0.22432579283340565"/>
          <c:h val="9.25716465120596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'country'!$B$1</c:f>
              <c:strCache>
                <c:ptCount val="1"/>
                <c:pt idx="0">
                  <c:v>Spring_Ord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'country'!$A$2:$A$8</c15:sqref>
                  </c15:fullRef>
                </c:ext>
              </c:extLst>
              <c:f>'country'!$A$2:$A$7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'country'!$B$2:$B$8</c15:sqref>
                  </c15:fullRef>
                </c:ext>
              </c:extLst>
              <c:f>'country'!$B$2:$B$7</c:f>
              <c:numCache>
                <c:formatCode>General</c:formatCode>
                <c:ptCount val="6"/>
                <c:pt idx="0">
                  <c:v>6422</c:v>
                </c:pt>
                <c:pt idx="1">
                  <c:v>3586</c:v>
                </c:pt>
                <c:pt idx="2">
                  <c:v>3178</c:v>
                </c:pt>
                <c:pt idx="3">
                  <c:v>3346</c:v>
                </c:pt>
                <c:pt idx="4">
                  <c:v>3712</c:v>
                </c:pt>
                <c:pt idx="5">
                  <c:v>10740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5-4145-AD89-1624962FE949}"/>
            </c:ext>
          </c:extLst>
        </c:ser>
        <c:ser>
          <c:idx val="1"/>
          <c:order val="1"/>
          <c:tx>
            <c:strRef>
              <c:f>'country'!$C$1</c:f>
              <c:strCache>
                <c:ptCount val="1"/>
                <c:pt idx="0">
                  <c:v>Summer_Ord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'country'!$A$2:$A$8</c15:sqref>
                  </c15:fullRef>
                </c:ext>
              </c:extLst>
              <c:f>'country'!$A$2:$A$7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'country'!$C$2:$C$8</c15:sqref>
                  </c15:fullRef>
                </c:ext>
              </c:extLst>
              <c:f>'country'!$C$2:$C$7</c:f>
              <c:numCache>
                <c:formatCode>General</c:formatCode>
                <c:ptCount val="6"/>
                <c:pt idx="0">
                  <c:v>5614</c:v>
                </c:pt>
                <c:pt idx="1">
                  <c:v>3526</c:v>
                </c:pt>
                <c:pt idx="2">
                  <c:v>2616</c:v>
                </c:pt>
                <c:pt idx="3">
                  <c:v>2632</c:v>
                </c:pt>
                <c:pt idx="4">
                  <c:v>3202</c:v>
                </c:pt>
                <c:pt idx="5">
                  <c:v>9306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85-4145-AD89-1624962FE949}"/>
            </c:ext>
          </c:extLst>
        </c:ser>
        <c:ser>
          <c:idx val="2"/>
          <c:order val="2"/>
          <c:tx>
            <c:strRef>
              <c:f>'country'!$D$1</c:f>
              <c:strCache>
                <c:ptCount val="1"/>
                <c:pt idx="0">
                  <c:v>Autumn_Ord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'country'!$A$2:$A$8</c15:sqref>
                  </c15:fullRef>
                </c:ext>
              </c:extLst>
              <c:f>'country'!$A$2:$A$7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'country'!$D$2:$D$8</c15:sqref>
                  </c15:fullRef>
                </c:ext>
              </c:extLst>
              <c:f>'country'!$D$2:$D$7</c:f>
              <c:numCache>
                <c:formatCode>General</c:formatCode>
                <c:ptCount val="6"/>
                <c:pt idx="0">
                  <c:v>5730</c:v>
                </c:pt>
                <c:pt idx="1">
                  <c:v>3388</c:v>
                </c:pt>
                <c:pt idx="2">
                  <c:v>2168</c:v>
                </c:pt>
                <c:pt idx="3">
                  <c:v>2214</c:v>
                </c:pt>
                <c:pt idx="4">
                  <c:v>3126</c:v>
                </c:pt>
                <c:pt idx="5">
                  <c:v>9024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85-4145-AD89-1624962FE949}"/>
            </c:ext>
          </c:extLst>
        </c:ser>
        <c:ser>
          <c:idx val="3"/>
          <c:order val="3"/>
          <c:tx>
            <c:strRef>
              <c:f>'country'!$E$1</c:f>
              <c:strCache>
                <c:ptCount val="1"/>
                <c:pt idx="0">
                  <c:v>Winter_Ord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'country'!$A$2:$A$8</c15:sqref>
                  </c15:fullRef>
                </c:ext>
              </c:extLst>
              <c:f>'country'!$A$2:$A$7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'country'!$E$2:$E$8</c15:sqref>
                  </c15:fullRef>
                </c:ext>
              </c:extLst>
              <c:f>'country'!$E$2:$E$7</c:f>
              <c:numCache>
                <c:formatCode>General</c:formatCode>
                <c:ptCount val="6"/>
                <c:pt idx="0">
                  <c:v>6170</c:v>
                </c:pt>
                <c:pt idx="1">
                  <c:v>3678</c:v>
                </c:pt>
                <c:pt idx="2">
                  <c:v>3036</c:v>
                </c:pt>
                <c:pt idx="3">
                  <c:v>2906</c:v>
                </c:pt>
                <c:pt idx="4">
                  <c:v>3580</c:v>
                </c:pt>
                <c:pt idx="5">
                  <c:v>10136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85-4145-AD89-1624962FE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917039"/>
        <c:axId val="68917759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'country'!$F$1</c15:sqref>
                        </c15:formulaRef>
                      </c:ext>
                    </c:extLst>
                    <c:strCache>
                      <c:ptCount val="1"/>
                      <c:pt idx="0">
                        <c:v>Country_Percent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'country'!$A$2:$A$8</c15:sqref>
                        </c15:fullRef>
                        <c15:formulaRef>
                          <c15:sqref>'country'!$A$2:$A$7</c15:sqref>
                        </c15:formulaRef>
                      </c:ext>
                    </c:extLst>
                    <c:strCache>
                      <c:ptCount val="6"/>
                      <c:pt idx="0">
                        <c:v>Australia</c:v>
                      </c:pt>
                      <c:pt idx="1">
                        <c:v>Canada</c:v>
                      </c:pt>
                      <c:pt idx="2">
                        <c:v>France</c:v>
                      </c:pt>
                      <c:pt idx="3">
                        <c:v>Germany</c:v>
                      </c:pt>
                      <c:pt idx="4">
                        <c:v>United Kingdom</c:v>
                      </c:pt>
                      <c:pt idx="5">
                        <c:v>United States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'country'!$F$2:$F$8</c15:sqref>
                        </c15:fullRef>
                        <c15:formulaRef>
                          <c15:sqref>'country'!$F$2:$F$7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21.18</c:v>
                      </c:pt>
                      <c:pt idx="1">
                        <c:v>12.54</c:v>
                      </c:pt>
                      <c:pt idx="2">
                        <c:v>9.73</c:v>
                      </c:pt>
                      <c:pt idx="3">
                        <c:v>9.82</c:v>
                      </c:pt>
                      <c:pt idx="4">
                        <c:v>12.05</c:v>
                      </c:pt>
                      <c:pt idx="5">
                        <c:v>34.68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4585-4145-AD89-1624962FE949}"/>
                  </c:ext>
                </c:extLst>
              </c15:ser>
            </c15:filteredBarSeries>
          </c:ext>
        </c:extLst>
      </c:barChart>
      <c:catAx>
        <c:axId val="6891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917759"/>
        <c:crosses val="autoZero"/>
        <c:auto val="1"/>
        <c:lblAlgn val="ctr"/>
        <c:lblOffset val="100"/>
        <c:noMultiLvlLbl val="0"/>
      </c:catAx>
      <c:valAx>
        <c:axId val="6891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91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chemeClr val="dk1"/>
                </a:solidFill>
                <a:latin typeface="+mn-lt"/>
              </a:defRPr>
            </a:pPr>
            <a:r>
              <a:rPr sz="2000" b="1">
                <a:solidFill>
                  <a:schemeClr val="dk1"/>
                </a:solidFill>
                <a:latin typeface="+mn-lt"/>
              </a:rPr>
              <a:t>Number of Orders - age distribution by gender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438-4643-A2EA-4C0AD4B65E3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438-4643-A2EA-4C0AD4B65E3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7438-4643-A2EA-4C0AD4B65E34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7438-4643-A2EA-4C0AD4B65E34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7438-4643-A2EA-4C0AD4B65E34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7438-4643-A2EA-4C0AD4B65E34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7438-4643-A2EA-4C0AD4B65E34}"/>
              </c:ext>
            </c:extLst>
          </c:dP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438-4643-A2EA-4C0AD4B65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600" b="1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chemeClr val="lt1"/>
    </a:solidFill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114299</xdr:colOff>
      <xdr:row>11</xdr:row>
      <xdr:rowOff>38099</xdr:rowOff>
    </xdr:from>
    <xdr:to>
      <xdr:col>13</xdr:col>
      <xdr:colOff>227331</xdr:colOff>
      <xdr:row>44</xdr:row>
      <xdr:rowOff>38100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0C4FD7A-06A1-0CD0-EE82-84D8365EB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9</xdr:row>
      <xdr:rowOff>19050</xdr:rowOff>
    </xdr:from>
    <xdr:to>
      <xdr:col>13</xdr:col>
      <xdr:colOff>57150</xdr:colOff>
      <xdr:row>40</xdr:row>
      <xdr:rowOff>51435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5732EBA-D2D4-8DA7-53EF-32C0E2F0D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4" name="Chart 4" title="Wykres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AFEEE980-87AD-48E2-95B4-D84A5D16DC49}" autoFormatId="16" applyNumberFormats="0" applyBorderFormats="0" applyFontFormats="0" applyPatternFormats="0" applyAlignmentFormats="0" applyWidthHeightFormats="0">
  <queryTableRefresh nextId="6">
    <queryTableFields count="5">
      <queryTableField id="1" name="Age_Group" tableColumnId="1"/>
      <queryTableField id="2" name="Total_Sum_of_Orders" tableColumnId="2"/>
      <queryTableField id="3" name="Female_Orders" tableColumnId="3"/>
      <queryTableField id="4" name="Male_Orders" tableColumnId="4"/>
      <queryTableField id="5" name="Group_Percentag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4B1B4ED-8E18-4DA9-BA7E-741B3F5E16C4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Spring_Ord" tableColumnId="2"/>
      <queryTableField id="3" name="Summer_Ord" tableColumnId="3"/>
      <queryTableField id="4" name="Autumn_Ord" tableColumnId="4"/>
      <queryTableField id="5" name="Winter_Ord" tableColumnId="5"/>
      <queryTableField id="6" name="Country_Perce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AA5A1E-BC36-41C4-989C-B10B6E09E003}" name="age_group" displayName="age_group" ref="A1:E9" tableType="queryTable" totalsRowShown="0">
  <autoFilter ref="A1:E9" xr:uid="{0FAA5A1E-BC36-41C4-989C-B10B6E09E003}"/>
  <tableColumns count="5">
    <tableColumn id="1" xr3:uid="{B6948EC7-F316-4DE2-94A7-6C66FC0B6678}" uniqueName="1" name="Age_Group" queryTableFieldId="1" dataDxfId="0"/>
    <tableColumn id="2" xr3:uid="{0D6C43F8-E250-4ABA-86D9-C304ACBFFD72}" uniqueName="2" name="Total_Sum_of_Orders" queryTableFieldId="2"/>
    <tableColumn id="3" xr3:uid="{159CD659-C0FE-4111-BE0D-AD15B32E785F}" uniqueName="3" name="Female_Orders" queryTableFieldId="3"/>
    <tableColumn id="4" xr3:uid="{2214B231-A810-410F-8B59-59F3C3C837DF}" uniqueName="4" name="Male_Orders" queryTableFieldId="4"/>
    <tableColumn id="5" xr3:uid="{45BFFE07-B4EA-42F2-915E-2E5C326A75FB}" uniqueName="5" name="Group_Percentage" queryTableFieldId="5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B3F756-6FEA-43C0-8D62-1ADAE86CEBDA}" name="country" displayName="country" ref="A1:F8" tableType="queryTable" totalsRowShown="0">
  <autoFilter ref="A1:F8" xr:uid="{74B3F756-6FEA-43C0-8D62-1ADAE86CEBDA}"/>
  <tableColumns count="6">
    <tableColumn id="1" xr3:uid="{04D0FA3C-98E0-4A48-BD5D-70CDB4CB72B2}" uniqueName="1" name="Country" queryTableFieldId="1" dataDxfId="1"/>
    <tableColumn id="2" xr3:uid="{4BB9F532-5E84-4623-8E7F-2DBCB1E84471}" uniqueName="2" name="Spring_Ord" queryTableFieldId="2"/>
    <tableColumn id="3" xr3:uid="{FA295DFB-9379-45E3-8695-0B4FFABA1EAF}" uniqueName="3" name="Summer_Ord" queryTableFieldId="3"/>
    <tableColumn id="4" xr3:uid="{E82B128D-5F4E-4B4D-9E15-18D2762DA2AD}" uniqueName="4" name="Autumn_Ord" queryTableFieldId="4"/>
    <tableColumn id="5" xr3:uid="{3693BFAA-0D9B-44B6-994C-9A2BFCF7AF87}" uniqueName="5" name="Winter_Ord" queryTableFieldId="5"/>
    <tableColumn id="6" xr3:uid="{8E9984EC-BA7E-45FA-9CDC-ABF30C6C6750}" uniqueName="6" name="Country_Percent" queryTableFieldId="6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83E3-101A-4969-9120-7EA2D3355D14}">
  <dimension ref="A1:E9"/>
  <sheetViews>
    <sheetView tabSelected="1" topLeftCell="A10" workbookViewId="0">
      <selection activeCell="A22" sqref="A22"/>
    </sheetView>
  </sheetViews>
  <sheetFormatPr defaultRowHeight="12.75"/>
  <cols>
    <col min="1" max="1" width="24.7109375" bestFit="1" customWidth="1"/>
    <col min="2" max="2" width="23" bestFit="1" customWidth="1"/>
    <col min="3" max="3" width="17.28515625" bestFit="1" customWidth="1"/>
    <col min="4" max="4" width="14.7109375" bestFit="1" customWidth="1"/>
    <col min="5" max="5" width="20.5703125" bestFit="1" customWidth="1"/>
  </cols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 s="20" t="s">
        <v>140</v>
      </c>
      <c r="B2">
        <v>16038</v>
      </c>
      <c r="C2">
        <v>5786</v>
      </c>
      <c r="D2">
        <v>10252</v>
      </c>
      <c r="E2">
        <v>1.19</v>
      </c>
    </row>
    <row r="3" spans="1:5">
      <c r="A3" s="20" t="s">
        <v>141</v>
      </c>
      <c r="B3">
        <v>200109</v>
      </c>
      <c r="C3">
        <v>92521</v>
      </c>
      <c r="D3">
        <v>107588</v>
      </c>
      <c r="E3">
        <v>14.87</v>
      </c>
    </row>
    <row r="4" spans="1:5">
      <c r="A4" s="20" t="s">
        <v>142</v>
      </c>
      <c r="B4">
        <v>446875</v>
      </c>
      <c r="C4">
        <v>214441</v>
      </c>
      <c r="D4">
        <v>232434</v>
      </c>
      <c r="E4">
        <v>33.22</v>
      </c>
    </row>
    <row r="5" spans="1:5">
      <c r="A5" s="20" t="s">
        <v>143</v>
      </c>
      <c r="B5">
        <v>375614</v>
      </c>
      <c r="C5">
        <v>181821</v>
      </c>
      <c r="D5">
        <v>193793</v>
      </c>
      <c r="E5">
        <v>27.92</v>
      </c>
    </row>
    <row r="6" spans="1:5">
      <c r="A6" s="20" t="s">
        <v>144</v>
      </c>
      <c r="B6">
        <v>212869</v>
      </c>
      <c r="C6">
        <v>107081</v>
      </c>
      <c r="D6">
        <v>105788</v>
      </c>
      <c r="E6">
        <v>15.82</v>
      </c>
    </row>
    <row r="7" spans="1:5">
      <c r="A7" s="20" t="s">
        <v>145</v>
      </c>
      <c r="B7">
        <v>83934</v>
      </c>
      <c r="C7">
        <v>39577</v>
      </c>
      <c r="D7">
        <v>44357</v>
      </c>
      <c r="E7">
        <v>6.24</v>
      </c>
    </row>
    <row r="8" spans="1:5">
      <c r="A8" s="20" t="s">
        <v>20</v>
      </c>
      <c r="B8">
        <v>9877</v>
      </c>
      <c r="C8">
        <v>4506</v>
      </c>
      <c r="D8">
        <v>5371</v>
      </c>
      <c r="E8">
        <v>0.73</v>
      </c>
    </row>
    <row r="9" spans="1:5">
      <c r="A9" s="20" t="s">
        <v>146</v>
      </c>
      <c r="B9">
        <v>1345316</v>
      </c>
      <c r="C9">
        <v>645733</v>
      </c>
      <c r="D9">
        <v>699583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CAD1-FB2C-4322-936A-897CC117CD88}">
  <dimension ref="A1:F8"/>
  <sheetViews>
    <sheetView topLeftCell="A7" workbookViewId="0">
      <selection activeCell="B16" sqref="B16"/>
    </sheetView>
  </sheetViews>
  <sheetFormatPr defaultRowHeight="12.75"/>
  <cols>
    <col min="1" max="1" width="18" bestFit="1" customWidth="1"/>
    <col min="2" max="2" width="13.5703125" bestFit="1" customWidth="1"/>
    <col min="3" max="3" width="15.42578125" bestFit="1" customWidth="1"/>
    <col min="4" max="4" width="14.5703125" bestFit="1" customWidth="1"/>
    <col min="5" max="5" width="13.5703125" bestFit="1" customWidth="1"/>
    <col min="6" max="6" width="18.42578125" bestFit="1" customWidth="1"/>
  </cols>
  <sheetData>
    <row r="1" spans="1:6">
      <c r="A1" t="s">
        <v>34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</row>
    <row r="2" spans="1:6">
      <c r="A2" s="20" t="s">
        <v>40</v>
      </c>
      <c r="B2">
        <v>6422</v>
      </c>
      <c r="C2">
        <v>5614</v>
      </c>
      <c r="D2">
        <v>5730</v>
      </c>
      <c r="E2">
        <v>6170</v>
      </c>
      <c r="F2">
        <v>21.18</v>
      </c>
    </row>
    <row r="3" spans="1:6">
      <c r="A3" s="20" t="s">
        <v>46</v>
      </c>
      <c r="B3">
        <v>3586</v>
      </c>
      <c r="C3">
        <v>3526</v>
      </c>
      <c r="D3">
        <v>3388</v>
      </c>
      <c r="E3">
        <v>3678</v>
      </c>
      <c r="F3">
        <v>12.54</v>
      </c>
    </row>
    <row r="4" spans="1:6">
      <c r="A4" s="20" t="s">
        <v>52</v>
      </c>
      <c r="B4">
        <v>3178</v>
      </c>
      <c r="C4">
        <v>2616</v>
      </c>
      <c r="D4">
        <v>2168</v>
      </c>
      <c r="E4">
        <v>3036</v>
      </c>
      <c r="F4">
        <v>9.73</v>
      </c>
    </row>
    <row r="5" spans="1:6">
      <c r="A5" s="20" t="s">
        <v>58</v>
      </c>
      <c r="B5">
        <v>3346</v>
      </c>
      <c r="C5">
        <v>2632</v>
      </c>
      <c r="D5">
        <v>2214</v>
      </c>
      <c r="E5">
        <v>2906</v>
      </c>
      <c r="F5">
        <v>9.82</v>
      </c>
    </row>
    <row r="6" spans="1:6">
      <c r="A6" s="20" t="s">
        <v>64</v>
      </c>
      <c r="B6">
        <v>3712</v>
      </c>
      <c r="C6">
        <v>3202</v>
      </c>
      <c r="D6">
        <v>3126</v>
      </c>
      <c r="E6">
        <v>3580</v>
      </c>
      <c r="F6">
        <v>12.05</v>
      </c>
    </row>
    <row r="7" spans="1:6">
      <c r="A7" s="20" t="s">
        <v>70</v>
      </c>
      <c r="B7">
        <v>10740</v>
      </c>
      <c r="C7">
        <v>9306</v>
      </c>
      <c r="D7">
        <v>9024</v>
      </c>
      <c r="E7">
        <v>10136</v>
      </c>
      <c r="F7">
        <v>34.68</v>
      </c>
    </row>
    <row r="8" spans="1:6">
      <c r="A8" s="20" t="s">
        <v>139</v>
      </c>
      <c r="B8">
        <v>27.41</v>
      </c>
      <c r="C8">
        <v>23.79</v>
      </c>
      <c r="D8">
        <v>22.69</v>
      </c>
      <c r="E8">
        <v>26.1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D11:H20"/>
  <sheetViews>
    <sheetView workbookViewId="0"/>
  </sheetViews>
  <sheetFormatPr defaultColWidth="12.5703125" defaultRowHeight="15.75" customHeight="1"/>
  <sheetData>
    <row r="11" spans="4:8">
      <c r="E11" s="1" t="s">
        <v>0</v>
      </c>
    </row>
    <row r="12" spans="4:8">
      <c r="E12" s="1" t="s">
        <v>1</v>
      </c>
    </row>
    <row r="13" spans="4:8">
      <c r="D13" s="1" t="s">
        <v>2</v>
      </c>
      <c r="E13" s="2" t="s">
        <v>3</v>
      </c>
      <c r="F13" s="2" t="s">
        <v>23</v>
      </c>
      <c r="G13" s="2" t="s">
        <v>24</v>
      </c>
      <c r="H13" s="2" t="s">
        <v>25</v>
      </c>
    </row>
    <row r="14" spans="4:8">
      <c r="D14" s="3" t="s">
        <v>8</v>
      </c>
      <c r="E14" s="1" t="s">
        <v>9</v>
      </c>
      <c r="F14" s="1">
        <v>19.010000000000002</v>
      </c>
      <c r="G14" s="1">
        <v>72.77</v>
      </c>
      <c r="H14" s="1">
        <v>8.2200000000000006</v>
      </c>
    </row>
    <row r="15" spans="4:8">
      <c r="D15" s="3" t="s">
        <v>10</v>
      </c>
      <c r="E15" s="1" t="s">
        <v>11</v>
      </c>
      <c r="F15" s="1">
        <v>32.53</v>
      </c>
      <c r="G15" s="1">
        <v>59.03</v>
      </c>
      <c r="H15" s="1">
        <v>8.44</v>
      </c>
    </row>
    <row r="16" spans="4:8">
      <c r="D16" s="3" t="s">
        <v>12</v>
      </c>
      <c r="E16" s="1" t="s">
        <v>13</v>
      </c>
      <c r="F16" s="1">
        <v>33.19</v>
      </c>
      <c r="G16" s="1">
        <v>54.14</v>
      </c>
      <c r="H16" s="1">
        <v>12.67</v>
      </c>
    </row>
    <row r="17" spans="4:8">
      <c r="D17" s="3" t="s">
        <v>14</v>
      </c>
      <c r="E17" s="1" t="s">
        <v>15</v>
      </c>
      <c r="F17" s="1">
        <v>33.299999999999997</v>
      </c>
      <c r="G17" s="1">
        <v>52.31</v>
      </c>
      <c r="H17" s="1">
        <v>14.39</v>
      </c>
    </row>
    <row r="18" spans="4:8">
      <c r="D18" s="3" t="s">
        <v>16</v>
      </c>
      <c r="E18" s="1" t="s">
        <v>17</v>
      </c>
      <c r="F18" s="1">
        <v>31.76</v>
      </c>
      <c r="G18" s="1">
        <v>53.21</v>
      </c>
      <c r="H18" s="1">
        <v>15.03</v>
      </c>
    </row>
    <row r="19" spans="4:8">
      <c r="D19" s="3" t="s">
        <v>18</v>
      </c>
      <c r="E19" s="1" t="s">
        <v>19</v>
      </c>
      <c r="F19" s="1">
        <v>36.479999999999997</v>
      </c>
      <c r="G19" s="1">
        <v>55.04</v>
      </c>
      <c r="H19" s="1">
        <v>8.48</v>
      </c>
    </row>
    <row r="20" spans="4:8">
      <c r="D20" s="3" t="s">
        <v>20</v>
      </c>
      <c r="E20" s="1" t="s">
        <v>21</v>
      </c>
      <c r="F20" s="1">
        <v>43.75</v>
      </c>
      <c r="G20" s="1">
        <v>45</v>
      </c>
      <c r="H20" s="1">
        <v>11.25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D8:G17"/>
  <sheetViews>
    <sheetView workbookViewId="0"/>
  </sheetViews>
  <sheetFormatPr defaultColWidth="12.5703125" defaultRowHeight="15.75" customHeight="1"/>
  <sheetData>
    <row r="8" spans="4:7">
      <c r="E8" s="1" t="s">
        <v>0</v>
      </c>
    </row>
    <row r="9" spans="4:7">
      <c r="E9" s="1" t="s">
        <v>1</v>
      </c>
    </row>
    <row r="10" spans="4:7">
      <c r="D10" s="1" t="s">
        <v>2</v>
      </c>
      <c r="E10" s="2" t="s">
        <v>3</v>
      </c>
      <c r="F10" s="2" t="s">
        <v>26</v>
      </c>
      <c r="G10" s="1" t="s">
        <v>27</v>
      </c>
    </row>
    <row r="11" spans="4:7">
      <c r="D11" s="3" t="s">
        <v>8</v>
      </c>
      <c r="E11" s="1" t="s">
        <v>9</v>
      </c>
      <c r="F11" s="4">
        <v>9894</v>
      </c>
      <c r="G11" s="1">
        <v>1927.2</v>
      </c>
    </row>
    <row r="12" spans="4:7">
      <c r="D12" s="3" t="s">
        <v>10</v>
      </c>
      <c r="E12" s="1" t="s">
        <v>11</v>
      </c>
      <c r="F12" s="1" t="s">
        <v>28</v>
      </c>
      <c r="G12" s="1">
        <v>2882.75</v>
      </c>
    </row>
    <row r="13" spans="4:7">
      <c r="D13" s="3" t="s">
        <v>12</v>
      </c>
      <c r="E13" s="1" t="s">
        <v>13</v>
      </c>
      <c r="F13" s="1" t="s">
        <v>29</v>
      </c>
      <c r="G13" s="1">
        <v>2615.4899999999998</v>
      </c>
    </row>
    <row r="14" spans="4:7">
      <c r="D14" s="3" t="s">
        <v>14</v>
      </c>
      <c r="E14" s="1" t="s">
        <v>15</v>
      </c>
      <c r="F14" s="4">
        <v>304308</v>
      </c>
      <c r="G14" s="1">
        <v>2733.3</v>
      </c>
    </row>
    <row r="15" spans="4:7">
      <c r="D15" s="3" t="s">
        <v>16</v>
      </c>
      <c r="E15" s="1" t="s">
        <v>17</v>
      </c>
      <c r="F15" s="1" t="s">
        <v>30</v>
      </c>
      <c r="G15" s="1">
        <v>2510.8200000000002</v>
      </c>
    </row>
    <row r="16" spans="4:7">
      <c r="D16" s="3" t="s">
        <v>18</v>
      </c>
      <c r="E16" s="1" t="s">
        <v>19</v>
      </c>
      <c r="F16" s="1" t="s">
        <v>31</v>
      </c>
      <c r="G16" s="1">
        <v>2651.78</v>
      </c>
    </row>
    <row r="17" spans="4:7">
      <c r="D17" s="3" t="s">
        <v>20</v>
      </c>
      <c r="E17" s="1" t="s">
        <v>21</v>
      </c>
      <c r="F17" s="1" t="s">
        <v>32</v>
      </c>
      <c r="G17" s="1">
        <v>2674.89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C5:J21"/>
  <sheetViews>
    <sheetView workbookViewId="0"/>
  </sheetViews>
  <sheetFormatPr defaultColWidth="12.5703125" defaultRowHeight="15.75" customHeight="1"/>
  <cols>
    <col min="10" max="10" width="16.7109375" customWidth="1"/>
  </cols>
  <sheetData>
    <row r="5" spans="3:10">
      <c r="C5" s="1" t="s">
        <v>33</v>
      </c>
    </row>
    <row r="13" spans="3:10">
      <c r="D13" s="1" t="s">
        <v>0</v>
      </c>
    </row>
    <row r="14" spans="3:10">
      <c r="D14" s="1" t="s">
        <v>1</v>
      </c>
    </row>
    <row r="15" spans="3:10">
      <c r="D15" s="2" t="s">
        <v>34</v>
      </c>
      <c r="E15" s="2" t="s">
        <v>35</v>
      </c>
      <c r="F15" s="2" t="s">
        <v>36</v>
      </c>
      <c r="G15" s="2" t="s">
        <v>37</v>
      </c>
      <c r="H15" s="2" t="s">
        <v>38</v>
      </c>
      <c r="I15" s="2" t="s">
        <v>39</v>
      </c>
    </row>
    <row r="16" spans="3:10">
      <c r="D16" s="1" t="s">
        <v>40</v>
      </c>
      <c r="E16" s="1" t="s">
        <v>41</v>
      </c>
      <c r="F16" s="1" t="s">
        <v>42</v>
      </c>
      <c r="G16" s="1" t="s">
        <v>43</v>
      </c>
      <c r="H16" s="1" t="s">
        <v>44</v>
      </c>
      <c r="I16" s="1" t="s">
        <v>45</v>
      </c>
      <c r="J16" s="1" t="str">
        <f ca="1">IFERROR(__xludf.DUMMYFUNCTION("SPARKLINE(E16:I16)"),"#N/A")</f>
        <v>#N/A</v>
      </c>
    </row>
    <row r="17" spans="4:9">
      <c r="D17" s="1" t="s">
        <v>46</v>
      </c>
      <c r="E17" s="1" t="s">
        <v>47</v>
      </c>
      <c r="F17" s="1" t="s">
        <v>48</v>
      </c>
      <c r="G17" s="1" t="s">
        <v>49</v>
      </c>
      <c r="H17" s="1" t="s">
        <v>50</v>
      </c>
      <c r="I17" s="1" t="s">
        <v>51</v>
      </c>
    </row>
    <row r="18" spans="4:9">
      <c r="D18" s="1" t="s">
        <v>52</v>
      </c>
      <c r="E18" s="1" t="s">
        <v>53</v>
      </c>
      <c r="F18" s="1" t="s">
        <v>54</v>
      </c>
      <c r="G18" s="1" t="s">
        <v>55</v>
      </c>
      <c r="H18" s="1" t="s">
        <v>56</v>
      </c>
      <c r="I18" s="1" t="s">
        <v>57</v>
      </c>
    </row>
    <row r="19" spans="4:9">
      <c r="D19" s="1" t="s">
        <v>58</v>
      </c>
      <c r="E19" s="1" t="s">
        <v>59</v>
      </c>
      <c r="F19" s="1" t="s">
        <v>60</v>
      </c>
      <c r="G19" s="1" t="s">
        <v>61</v>
      </c>
      <c r="H19" s="1" t="s">
        <v>62</v>
      </c>
      <c r="I19" s="1" t="s">
        <v>63</v>
      </c>
    </row>
    <row r="20" spans="4:9"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4:9">
      <c r="D21" s="1" t="s">
        <v>70</v>
      </c>
      <c r="E21" s="1" t="s">
        <v>71</v>
      </c>
      <c r="F21" s="1" t="s">
        <v>72</v>
      </c>
      <c r="G21" s="1" t="s">
        <v>73</v>
      </c>
      <c r="H21" s="1" t="s">
        <v>74</v>
      </c>
      <c r="I21" s="1" t="s">
        <v>75</v>
      </c>
    </row>
  </sheetData>
  <conditionalFormatting sqref="F16:I17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C4:I21"/>
  <sheetViews>
    <sheetView workbookViewId="0">
      <selection activeCell="C25" sqref="C25"/>
    </sheetView>
  </sheetViews>
  <sheetFormatPr defaultColWidth="12.5703125" defaultRowHeight="15.75" customHeight="1"/>
  <cols>
    <col min="3" max="8" width="29.28515625" customWidth="1"/>
    <col min="9" max="9" width="33" customWidth="1"/>
  </cols>
  <sheetData>
    <row r="4" spans="3:9" ht="12.75">
      <c r="C4" s="1"/>
    </row>
    <row r="12" spans="3:9" ht="61.5" customHeight="1">
      <c r="C12" s="14" t="s">
        <v>76</v>
      </c>
      <c r="D12" s="15"/>
      <c r="E12" s="15"/>
      <c r="F12" s="15"/>
      <c r="G12" s="15"/>
      <c r="H12" s="15"/>
      <c r="I12" s="16"/>
    </row>
    <row r="13" spans="3:9" ht="12.75">
      <c r="C13" s="17"/>
      <c r="D13" s="18"/>
      <c r="E13" s="18"/>
      <c r="F13" s="18"/>
      <c r="G13" s="18"/>
      <c r="H13" s="18"/>
      <c r="I13" s="19"/>
    </row>
    <row r="14" spans="3:9" ht="36.75" customHeight="1">
      <c r="C14" s="5" t="s">
        <v>34</v>
      </c>
      <c r="D14" s="5" t="s">
        <v>77</v>
      </c>
      <c r="E14" s="5" t="s">
        <v>78</v>
      </c>
      <c r="F14" s="5" t="s">
        <v>79</v>
      </c>
      <c r="G14" s="5" t="s">
        <v>80</v>
      </c>
      <c r="H14" s="5" t="s">
        <v>81</v>
      </c>
      <c r="I14" s="6" t="s">
        <v>82</v>
      </c>
    </row>
    <row r="15" spans="3:9" ht="36.75" customHeight="1">
      <c r="C15" s="7" t="s">
        <v>40</v>
      </c>
      <c r="D15" s="8">
        <v>6422</v>
      </c>
      <c r="E15" s="8">
        <v>5614</v>
      </c>
      <c r="F15" s="8">
        <v>5730</v>
      </c>
      <c r="G15" s="8">
        <v>6170</v>
      </c>
      <c r="H15" s="8" t="s">
        <v>83</v>
      </c>
      <c r="I15" s="9"/>
    </row>
    <row r="16" spans="3:9" ht="36.75" customHeight="1">
      <c r="C16" s="7" t="s">
        <v>46</v>
      </c>
      <c r="D16" s="8">
        <v>3586</v>
      </c>
      <c r="E16" s="8">
        <v>3526</v>
      </c>
      <c r="F16" s="8">
        <v>3388</v>
      </c>
      <c r="G16" s="8">
        <v>3678</v>
      </c>
      <c r="H16" s="8" t="s">
        <v>84</v>
      </c>
      <c r="I16" s="9"/>
    </row>
    <row r="17" spans="3:9" ht="36.75" customHeight="1">
      <c r="C17" s="7" t="s">
        <v>52</v>
      </c>
      <c r="D17" s="8">
        <v>3178</v>
      </c>
      <c r="E17" s="8">
        <v>2616</v>
      </c>
      <c r="F17" s="8">
        <v>2168</v>
      </c>
      <c r="G17" s="8">
        <v>3036</v>
      </c>
      <c r="H17" s="8" t="s">
        <v>85</v>
      </c>
      <c r="I17" s="9"/>
    </row>
    <row r="18" spans="3:9" ht="36.75" customHeight="1">
      <c r="C18" s="7" t="s">
        <v>58</v>
      </c>
      <c r="D18" s="8">
        <v>3346</v>
      </c>
      <c r="E18" s="8">
        <v>2632</v>
      </c>
      <c r="F18" s="8">
        <v>2214</v>
      </c>
      <c r="G18" s="8">
        <v>2906</v>
      </c>
      <c r="H18" s="8" t="s">
        <v>86</v>
      </c>
      <c r="I18" s="9"/>
    </row>
    <row r="19" spans="3:9" ht="36.75" customHeight="1">
      <c r="C19" s="7" t="s">
        <v>64</v>
      </c>
      <c r="D19" s="8">
        <v>3712</v>
      </c>
      <c r="E19" s="8">
        <v>3202</v>
      </c>
      <c r="F19" s="8">
        <v>3126</v>
      </c>
      <c r="G19" s="8">
        <v>3580</v>
      </c>
      <c r="H19" s="8" t="s">
        <v>87</v>
      </c>
      <c r="I19" s="9"/>
    </row>
    <row r="20" spans="3:9" ht="36.75" customHeight="1">
      <c r="C20" s="7" t="s">
        <v>70</v>
      </c>
      <c r="D20" s="8">
        <v>10740</v>
      </c>
      <c r="E20" s="8">
        <v>9306</v>
      </c>
      <c r="F20" s="8">
        <v>9024</v>
      </c>
      <c r="G20" s="8">
        <v>10136</v>
      </c>
      <c r="H20" s="8" t="s">
        <v>88</v>
      </c>
      <c r="I20" s="9"/>
    </row>
    <row r="21" spans="3:9" ht="36.75" customHeight="1">
      <c r="C21" s="10" t="s">
        <v>89</v>
      </c>
      <c r="D21" s="11" t="s">
        <v>90</v>
      </c>
      <c r="E21" s="11" t="s">
        <v>91</v>
      </c>
      <c r="F21" s="11" t="s">
        <v>92</v>
      </c>
      <c r="G21" s="11" t="s">
        <v>93</v>
      </c>
      <c r="H21" s="12" t="s">
        <v>22</v>
      </c>
      <c r="I21" s="13"/>
    </row>
  </sheetData>
  <mergeCells count="1">
    <mergeCell ref="C12:I13"/>
  </mergeCells>
  <conditionalFormatting sqref="D15:G15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FFFFFF"/>
        <color rgb="FF57BB8A"/>
      </colorScale>
    </cfRule>
  </conditionalFormatting>
  <conditionalFormatting sqref="D16:G16">
    <cfRule type="colorScale" priority="3">
      <colorScale>
        <cfvo type="min"/>
        <cfvo type="max"/>
        <color rgb="FFFFFFFF"/>
        <color rgb="FF57BB8A"/>
      </colorScale>
    </cfRule>
  </conditionalFormatting>
  <conditionalFormatting sqref="D17:G17">
    <cfRule type="colorScale" priority="4">
      <colorScale>
        <cfvo type="min"/>
        <cfvo type="max"/>
        <color rgb="FFFFFFFF"/>
        <color rgb="FF57BB8A"/>
      </colorScale>
    </cfRule>
  </conditionalFormatting>
  <conditionalFormatting sqref="D18:G18">
    <cfRule type="colorScale" priority="5">
      <colorScale>
        <cfvo type="min"/>
        <cfvo type="max"/>
        <color rgb="FFFFFFFF"/>
        <color rgb="FF57BB8A"/>
      </colorScale>
    </cfRule>
  </conditionalFormatting>
  <conditionalFormatting sqref="D19:G19">
    <cfRule type="colorScale" priority="6">
      <colorScale>
        <cfvo type="min"/>
        <cfvo type="max"/>
        <color rgb="FFFFFFFF"/>
        <color rgb="FF57BB8A"/>
      </colorScale>
    </cfRule>
  </conditionalFormatting>
  <conditionalFormatting sqref="D20:G20">
    <cfRule type="colorScale" priority="7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800-000005000000}">
          <x14:colorSeries rgb="FF000000"/>
          <x14:sparklines>
            <x14:sparkline>
              <xm:f>'Number of orders for every coun'!D20:G20</xm:f>
              <xm:sqref>I20</xm:sqref>
            </x14:sparkline>
          </x14:sparklines>
        </x14:sparklineGroup>
        <x14:sparklineGroup displayEmptyCellsAs="gap" xr2:uid="{00000000-0003-0000-0800-000004000000}">
          <x14:colorSeries rgb="FF000000"/>
          <x14:sparklines>
            <x14:sparkline>
              <xm:f>'Number of orders for every coun'!D19:G19</xm:f>
              <xm:sqref>I19</xm:sqref>
            </x14:sparkline>
          </x14:sparklines>
        </x14:sparklineGroup>
        <x14:sparklineGroup displayEmptyCellsAs="gap" xr2:uid="{00000000-0003-0000-0800-000003000000}">
          <x14:colorSeries rgb="FF000000"/>
          <x14:sparklines>
            <x14:sparkline>
              <xm:f>'Number of orders for every coun'!D18:G18</xm:f>
              <xm:sqref>I18</xm:sqref>
            </x14:sparkline>
          </x14:sparklines>
        </x14:sparklineGroup>
        <x14:sparklineGroup displayEmptyCellsAs="gap" xr2:uid="{00000000-0003-0000-0800-000002000000}">
          <x14:colorSeries rgb="FF000000"/>
          <x14:sparklines>
            <x14:sparkline>
              <xm:f>'Number of orders for every coun'!D17:G17</xm:f>
              <xm:sqref>I17</xm:sqref>
            </x14:sparkline>
          </x14:sparklines>
        </x14:sparklineGroup>
        <x14:sparklineGroup displayEmptyCellsAs="gap" xr2:uid="{00000000-0003-0000-0800-000001000000}">
          <x14:colorSeries rgb="FF000000"/>
          <x14:sparklines>
            <x14:sparkline>
              <xm:f>'Number of orders for every coun'!D16:G16</xm:f>
              <xm:sqref>I16</xm:sqref>
            </x14:sparkline>
          </x14:sparklines>
        </x14:sparklineGroup>
        <x14:sparklineGroup displayEmptyCellsAs="gap" xr2:uid="{00000000-0003-0000-0800-000000000000}">
          <x14:colorSeries rgb="FF000000"/>
          <x14:sparklines>
            <x14:sparkline>
              <xm:f>'Number of orders for every coun'!D15:G15</xm:f>
              <xm:sqref>I15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6:E18"/>
  <sheetViews>
    <sheetView workbookViewId="0"/>
  </sheetViews>
  <sheetFormatPr defaultColWidth="12.5703125" defaultRowHeight="15.75" customHeight="1"/>
  <sheetData>
    <row r="6" spans="2:5">
      <c r="B6" s="1" t="s">
        <v>94</v>
      </c>
    </row>
    <row r="13" spans="2:5">
      <c r="B13" s="1" t="s">
        <v>0</v>
      </c>
    </row>
    <row r="14" spans="2:5">
      <c r="B14" s="1" t="s">
        <v>1</v>
      </c>
    </row>
    <row r="15" spans="2:5">
      <c r="B15" s="2" t="s">
        <v>95</v>
      </c>
      <c r="C15" s="2" t="s">
        <v>96</v>
      </c>
      <c r="D15" s="2" t="s">
        <v>97</v>
      </c>
      <c r="E15" s="2" t="s">
        <v>98</v>
      </c>
    </row>
    <row r="16" spans="2:5">
      <c r="B16" s="1" t="s">
        <v>99</v>
      </c>
      <c r="C16" s="1">
        <v>2195</v>
      </c>
      <c r="D16" s="1" t="s">
        <v>100</v>
      </c>
      <c r="E16" s="1" t="s">
        <v>101</v>
      </c>
    </row>
    <row r="17" spans="2:5">
      <c r="B17" s="1" t="s">
        <v>102</v>
      </c>
      <c r="C17" s="1">
        <v>4601</v>
      </c>
      <c r="D17" s="1" t="s">
        <v>103</v>
      </c>
      <c r="E17" s="1" t="s">
        <v>104</v>
      </c>
    </row>
    <row r="18" spans="2:5">
      <c r="B18" s="1" t="s">
        <v>105</v>
      </c>
      <c r="C18" s="1">
        <v>621</v>
      </c>
      <c r="D18" s="1" t="s">
        <v>106</v>
      </c>
      <c r="E18" s="1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5:L20"/>
  <sheetViews>
    <sheetView workbookViewId="0"/>
  </sheetViews>
  <sheetFormatPr defaultColWidth="12.5703125" defaultRowHeight="15.75" customHeight="1"/>
  <sheetData>
    <row r="5" spans="2:12">
      <c r="B5" s="1" t="s">
        <v>107</v>
      </c>
    </row>
    <row r="11" spans="2:12">
      <c r="B11" s="1" t="s">
        <v>0</v>
      </c>
      <c r="F11" s="1" t="s">
        <v>0</v>
      </c>
    </row>
    <row r="12" spans="2:12">
      <c r="B12" s="1" t="s">
        <v>1</v>
      </c>
      <c r="F12" s="1" t="s">
        <v>1</v>
      </c>
      <c r="J12" s="1" t="s">
        <v>0</v>
      </c>
    </row>
    <row r="13" spans="2:12">
      <c r="B13" s="2" t="s">
        <v>108</v>
      </c>
      <c r="C13" s="2" t="s">
        <v>109</v>
      </c>
      <c r="D13" s="2" t="s">
        <v>110</v>
      </c>
      <c r="F13" s="2" t="s">
        <v>108</v>
      </c>
      <c r="G13" s="2" t="s">
        <v>111</v>
      </c>
      <c r="H13" s="2" t="s">
        <v>110</v>
      </c>
      <c r="J13" s="1" t="s">
        <v>1</v>
      </c>
    </row>
    <row r="14" spans="2:12">
      <c r="B14" s="1">
        <v>2013</v>
      </c>
      <c r="C14" s="1" t="s">
        <v>112</v>
      </c>
      <c r="D14" s="1">
        <v>0</v>
      </c>
      <c r="F14" s="1">
        <v>2013</v>
      </c>
      <c r="G14" s="1" t="s">
        <v>113</v>
      </c>
      <c r="H14" s="1">
        <v>0</v>
      </c>
      <c r="J14" s="2" t="s">
        <v>108</v>
      </c>
      <c r="K14" s="2" t="s">
        <v>114</v>
      </c>
      <c r="L14" s="2" t="s">
        <v>110</v>
      </c>
    </row>
    <row r="15" spans="2:12">
      <c r="B15" s="1">
        <v>2014</v>
      </c>
      <c r="C15" s="1" t="s">
        <v>115</v>
      </c>
      <c r="D15" s="1" t="s">
        <v>116</v>
      </c>
      <c r="F15" s="1">
        <v>2014</v>
      </c>
      <c r="G15" s="1" t="s">
        <v>117</v>
      </c>
      <c r="H15" s="1" t="s">
        <v>118</v>
      </c>
      <c r="J15" s="1">
        <v>2011</v>
      </c>
      <c r="K15" s="1" t="s">
        <v>119</v>
      </c>
      <c r="L15" s="1">
        <v>0</v>
      </c>
    </row>
    <row r="16" spans="2:12">
      <c r="B16" s="1">
        <v>2015</v>
      </c>
      <c r="C16" s="1" t="s">
        <v>120</v>
      </c>
      <c r="D16" s="1">
        <f>1.66</f>
        <v>1.66</v>
      </c>
      <c r="F16" s="1">
        <v>2015</v>
      </c>
      <c r="G16" s="1" t="s">
        <v>121</v>
      </c>
      <c r="H16" s="1">
        <f>31.09</f>
        <v>31.09</v>
      </c>
      <c r="J16" s="1">
        <v>2012</v>
      </c>
      <c r="K16" s="1" t="s">
        <v>122</v>
      </c>
      <c r="L16" s="1">
        <f>52.45</f>
        <v>52.45</v>
      </c>
    </row>
    <row r="17" spans="2:12">
      <c r="B17" s="1">
        <v>2016</v>
      </c>
      <c r="C17" s="1" t="s">
        <v>123</v>
      </c>
      <c r="D17" s="1" t="s">
        <v>124</v>
      </c>
      <c r="F17" s="1">
        <v>2016</v>
      </c>
      <c r="G17" s="1" t="s">
        <v>125</v>
      </c>
      <c r="H17" s="1" t="s">
        <v>126</v>
      </c>
      <c r="J17" s="1">
        <v>2013</v>
      </c>
      <c r="K17" s="1" t="s">
        <v>127</v>
      </c>
      <c r="L17" s="1" t="s">
        <v>128</v>
      </c>
    </row>
    <row r="18" spans="2:12">
      <c r="J18" s="1">
        <v>2014</v>
      </c>
      <c r="K18" s="4" t="s">
        <v>129</v>
      </c>
      <c r="L18" s="1" t="s">
        <v>130</v>
      </c>
    </row>
    <row r="19" spans="2:12">
      <c r="J19" s="1">
        <v>2015</v>
      </c>
      <c r="K19" s="1" t="s">
        <v>131</v>
      </c>
      <c r="L19" s="1">
        <f>636.52</f>
        <v>636.52</v>
      </c>
    </row>
    <row r="20" spans="2:12">
      <c r="J20" s="1">
        <v>2016</v>
      </c>
      <c r="K20" s="1" t="s">
        <v>132</v>
      </c>
      <c r="L20" s="1" t="s">
        <v>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0D04AC-968A-4926-8844-78D6AE64B4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8</vt:i4>
      </vt:variant>
      <vt:variant>
        <vt:lpstr>Wykresy</vt:lpstr>
      </vt:variant>
      <vt:variant>
        <vt:i4>1</vt:i4>
      </vt:variant>
    </vt:vector>
  </HeadingPairs>
  <TitlesOfParts>
    <vt:vector size="9" baseType="lpstr">
      <vt:lpstr>age_group</vt:lpstr>
      <vt:lpstr>country</vt:lpstr>
      <vt:lpstr>Arkusz7</vt:lpstr>
      <vt:lpstr>Arkusz8</vt:lpstr>
      <vt:lpstr>Arkusz3</vt:lpstr>
      <vt:lpstr>Number of orders for every coun</vt:lpstr>
      <vt:lpstr>Arkusz5</vt:lpstr>
      <vt:lpstr>Arkusz6</vt:lpstr>
      <vt:lpstr>Number of Orders - age distribu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Bochenek</cp:lastModifiedBy>
  <dcterms:modified xsi:type="dcterms:W3CDTF">2026-03-09T20:56:54Z</dcterms:modified>
</cp:coreProperties>
</file>